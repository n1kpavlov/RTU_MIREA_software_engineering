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Модели\Контрольное задание\"/>
    </mc:Choice>
  </mc:AlternateContent>
  <xr:revisionPtr revIDLastSave="0" documentId="13_ncr:1_{C37A7903-B36C-4176-A872-769A76377DB4}" xr6:coauthVersionLast="47" xr6:coauthVersionMax="47" xr10:uidLastSave="{00000000-0000-0000-0000-000000000000}"/>
  <bookViews>
    <workbookView xWindow="-108" yWindow="-108" windowWidth="23256" windowHeight="13896" activeTab="4" xr2:uid="{F74C61C0-C4B5-4373-AB46-C4A65D575DB6}"/>
  </bookViews>
  <sheets>
    <sheet name="Параметры для вариантов" sheetId="1" r:id="rId1"/>
    <sheet name="Обнаружение ошибок" sheetId="2" r:id="rId2"/>
    <sheet name="Аутентификация" sheetId="3" r:id="rId3"/>
    <sheet name="Антивирус" sheetId="4" r:id="rId4"/>
    <sheet name="Итоги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" l="1"/>
  <c r="C5" i="5"/>
  <c r="E4" i="5"/>
  <c r="C4" i="5"/>
  <c r="E3" i="5"/>
  <c r="D3" i="5"/>
  <c r="C3" i="5"/>
  <c r="G3" i="5"/>
  <c r="F3" i="5"/>
  <c r="F14" i="4"/>
  <c r="G14" i="4"/>
  <c r="F4" i="4"/>
  <c r="F19" i="4"/>
  <c r="F11" i="4"/>
  <c r="F3" i="4"/>
  <c r="G3" i="3"/>
  <c r="G4" i="3"/>
  <c r="D4" i="5" s="1"/>
  <c r="G5" i="3"/>
  <c r="AT20" i="2"/>
  <c r="AT14" i="2"/>
  <c r="BS10" i="2"/>
  <c r="BR11" i="2"/>
  <c r="BR12" i="2"/>
  <c r="BR13" i="2"/>
  <c r="BR14" i="2"/>
  <c r="BR15" i="2"/>
  <c r="BR16" i="2"/>
  <c r="BR17" i="2"/>
  <c r="BR18" i="2"/>
  <c r="BR10" i="2"/>
  <c r="BQ11" i="2"/>
  <c r="BQ12" i="2"/>
  <c r="BQ13" i="2"/>
  <c r="BQ14" i="2"/>
  <c r="BQ15" i="2"/>
  <c r="BQ16" i="2"/>
  <c r="BQ17" i="2"/>
  <c r="BQ18" i="2"/>
  <c r="BQ10" i="2"/>
  <c r="BN3" i="2"/>
  <c r="BN4" i="2" s="1"/>
  <c r="BN5" i="2" s="1"/>
  <c r="BN11" i="2"/>
  <c r="BN12" i="2"/>
  <c r="BN13" i="2"/>
  <c r="BN14" i="2"/>
  <c r="BN15" i="2"/>
  <c r="BN16" i="2"/>
  <c r="BN17" i="2"/>
  <c r="BN18" i="2"/>
  <c r="BN19" i="2"/>
  <c r="BN10" i="2"/>
  <c r="BN20" i="2" s="1"/>
  <c r="BS18" i="2"/>
  <c r="BS17" i="2"/>
  <c r="BS16" i="2"/>
  <c r="BS15" i="2"/>
  <c r="BS14" i="2"/>
  <c r="BS13" i="2"/>
  <c r="BS12" i="2"/>
  <c r="BS11" i="2"/>
  <c r="BS19" i="2"/>
  <c r="BS20" i="2" s="1"/>
  <c r="BN6" i="2" s="1"/>
  <c r="BH11" i="2"/>
  <c r="BB8" i="2"/>
  <c r="BC8" i="2"/>
  <c r="BD8" i="2"/>
  <c r="BK8" i="2" s="1"/>
  <c r="BE8" i="2"/>
  <c r="BF8" i="2"/>
  <c r="BG8" i="2"/>
  <c r="BH8" i="2"/>
  <c r="BI8" i="2"/>
  <c r="BJ8" i="2"/>
  <c r="BB9" i="2"/>
  <c r="BK9" i="2" s="1"/>
  <c r="BC9" i="2"/>
  <c r="BD9" i="2"/>
  <c r="BE9" i="2"/>
  <c r="BF9" i="2"/>
  <c r="BG9" i="2"/>
  <c r="BH9" i="2"/>
  <c r="BI9" i="2"/>
  <c r="BJ9" i="2"/>
  <c r="BB10" i="2"/>
  <c r="BK10" i="2" s="1"/>
  <c r="BC10" i="2"/>
  <c r="BD10" i="2"/>
  <c r="BE10" i="2"/>
  <c r="BF10" i="2"/>
  <c r="BG10" i="2"/>
  <c r="BH10" i="2"/>
  <c r="BI10" i="2"/>
  <c r="BJ10" i="2"/>
  <c r="BB11" i="2"/>
  <c r="BK11" i="2" s="1"/>
  <c r="BC11" i="2"/>
  <c r="BD11" i="2"/>
  <c r="BE11" i="2"/>
  <c r="BF11" i="2"/>
  <c r="BG11" i="2"/>
  <c r="BI11" i="2"/>
  <c r="BJ11" i="2"/>
  <c r="BB12" i="2"/>
  <c r="BK12" i="2" s="1"/>
  <c r="BC12" i="2"/>
  <c r="BD12" i="2"/>
  <c r="BE12" i="2"/>
  <c r="BF12" i="2"/>
  <c r="BG12" i="2"/>
  <c r="BH12" i="2"/>
  <c r="BI12" i="2"/>
  <c r="BJ12" i="2"/>
  <c r="BB13" i="2"/>
  <c r="BK13" i="2" s="1"/>
  <c r="BC13" i="2"/>
  <c r="BD13" i="2"/>
  <c r="BE13" i="2"/>
  <c r="BF13" i="2"/>
  <c r="BG13" i="2"/>
  <c r="BH13" i="2"/>
  <c r="BI13" i="2"/>
  <c r="BJ13" i="2"/>
  <c r="BB14" i="2"/>
  <c r="BK14" i="2" s="1"/>
  <c r="BC14" i="2"/>
  <c r="BD14" i="2"/>
  <c r="BE14" i="2"/>
  <c r="BF14" i="2"/>
  <c r="BG14" i="2"/>
  <c r="BH14" i="2"/>
  <c r="BI14" i="2"/>
  <c r="BJ14" i="2"/>
  <c r="BC7" i="2"/>
  <c r="BD7" i="2"/>
  <c r="BE7" i="2"/>
  <c r="BF7" i="2"/>
  <c r="BG7" i="2"/>
  <c r="BH7" i="2"/>
  <c r="BI7" i="2"/>
  <c r="BJ7" i="2"/>
  <c r="BB7" i="2"/>
  <c r="BK7" i="2" s="1"/>
  <c r="U13" i="2"/>
  <c r="AU15" i="2"/>
  <c r="AU16" i="2"/>
  <c r="AU17" i="2"/>
  <c r="AU18" i="2"/>
  <c r="AU19" i="2"/>
  <c r="AU20" i="2"/>
  <c r="AU21" i="2"/>
  <c r="AU22" i="2"/>
  <c r="AU14" i="2"/>
  <c r="AT15" i="2"/>
  <c r="AT16" i="2"/>
  <c r="AT17" i="2"/>
  <c r="AT18" i="2"/>
  <c r="AT19" i="2"/>
  <c r="AT21" i="2"/>
  <c r="AT22" i="2"/>
  <c r="AK34" i="2"/>
  <c r="AE10" i="2"/>
  <c r="AF10" i="2"/>
  <c r="AG10" i="2"/>
  <c r="AH10" i="2"/>
  <c r="AI10" i="2"/>
  <c r="AJ10" i="2"/>
  <c r="AK10" i="2"/>
  <c r="AL10" i="2"/>
  <c r="AM10" i="2"/>
  <c r="AE11" i="2"/>
  <c r="AN11" i="2" s="1"/>
  <c r="AF11" i="2"/>
  <c r="AG11" i="2"/>
  <c r="AH11" i="2"/>
  <c r="AI11" i="2"/>
  <c r="AJ11" i="2"/>
  <c r="AK11" i="2"/>
  <c r="AL11" i="2"/>
  <c r="AM11" i="2"/>
  <c r="AE12" i="2"/>
  <c r="AN12" i="2" s="1"/>
  <c r="AF12" i="2"/>
  <c r="AG12" i="2"/>
  <c r="AH12" i="2"/>
  <c r="AI12" i="2"/>
  <c r="AJ12" i="2"/>
  <c r="AK12" i="2"/>
  <c r="AL12" i="2"/>
  <c r="AM12" i="2"/>
  <c r="AE13" i="2"/>
  <c r="AN13" i="2" s="1"/>
  <c r="AF13" i="2"/>
  <c r="AG13" i="2"/>
  <c r="AH13" i="2"/>
  <c r="AI13" i="2"/>
  <c r="AJ13" i="2"/>
  <c r="AK13" i="2"/>
  <c r="AL13" i="2"/>
  <c r="AM13" i="2"/>
  <c r="AE14" i="2"/>
  <c r="AN14" i="2" s="1"/>
  <c r="AF14" i="2"/>
  <c r="AG14" i="2"/>
  <c r="AH14" i="2"/>
  <c r="AI14" i="2"/>
  <c r="AJ14" i="2"/>
  <c r="AK14" i="2"/>
  <c r="AL14" i="2"/>
  <c r="AM14" i="2"/>
  <c r="AE15" i="2"/>
  <c r="AN15" i="2" s="1"/>
  <c r="AF15" i="2"/>
  <c r="AG15" i="2"/>
  <c r="AH15" i="2"/>
  <c r="AI15" i="2"/>
  <c r="AJ15" i="2"/>
  <c r="AK15" i="2"/>
  <c r="AL15" i="2"/>
  <c r="AM15" i="2"/>
  <c r="AE16" i="2"/>
  <c r="AN16" i="2" s="1"/>
  <c r="AF16" i="2"/>
  <c r="AG16" i="2"/>
  <c r="AH16" i="2"/>
  <c r="AI16" i="2"/>
  <c r="AJ16" i="2"/>
  <c r="AK16" i="2"/>
  <c r="AL16" i="2"/>
  <c r="AM16" i="2"/>
  <c r="AE17" i="2"/>
  <c r="AN17" i="2" s="1"/>
  <c r="AF17" i="2"/>
  <c r="AG17" i="2"/>
  <c r="AH17" i="2"/>
  <c r="AI17" i="2"/>
  <c r="AJ17" i="2"/>
  <c r="AK17" i="2"/>
  <c r="AL17" i="2"/>
  <c r="AM17" i="2"/>
  <c r="AE18" i="2"/>
  <c r="AN18" i="2" s="1"/>
  <c r="AF18" i="2"/>
  <c r="AG18" i="2"/>
  <c r="AH18" i="2"/>
  <c r="AI18" i="2"/>
  <c r="AJ18" i="2"/>
  <c r="AK18" i="2"/>
  <c r="AL18" i="2"/>
  <c r="AM18" i="2"/>
  <c r="AE19" i="2"/>
  <c r="AN19" i="2" s="1"/>
  <c r="AF19" i="2"/>
  <c r="AG19" i="2"/>
  <c r="AH19" i="2"/>
  <c r="AI19" i="2"/>
  <c r="AJ19" i="2"/>
  <c r="AK19" i="2"/>
  <c r="AL19" i="2"/>
  <c r="AM19" i="2"/>
  <c r="AE20" i="2"/>
  <c r="AN20" i="2" s="1"/>
  <c r="AF20" i="2"/>
  <c r="AG20" i="2"/>
  <c r="AH20" i="2"/>
  <c r="AI20" i="2"/>
  <c r="AJ20" i="2"/>
  <c r="AK20" i="2"/>
  <c r="AL20" i="2"/>
  <c r="AM20" i="2"/>
  <c r="AE21" i="2"/>
  <c r="AN21" i="2" s="1"/>
  <c r="AF21" i="2"/>
  <c r="AG21" i="2"/>
  <c r="AH21" i="2"/>
  <c r="AI21" i="2"/>
  <c r="AJ21" i="2"/>
  <c r="AK21" i="2"/>
  <c r="AL21" i="2"/>
  <c r="AM21" i="2"/>
  <c r="AE22" i="2"/>
  <c r="AN22" i="2" s="1"/>
  <c r="AF22" i="2"/>
  <c r="AG22" i="2"/>
  <c r="AH22" i="2"/>
  <c r="AI22" i="2"/>
  <c r="AJ22" i="2"/>
  <c r="AK22" i="2"/>
  <c r="AL22" i="2"/>
  <c r="AM22" i="2"/>
  <c r="AE23" i="2"/>
  <c r="AN23" i="2" s="1"/>
  <c r="AF23" i="2"/>
  <c r="AG23" i="2"/>
  <c r="AH23" i="2"/>
  <c r="AI23" i="2"/>
  <c r="AJ23" i="2"/>
  <c r="AK23" i="2"/>
  <c r="AL23" i="2"/>
  <c r="AM23" i="2"/>
  <c r="AE24" i="2"/>
  <c r="AN24" i="2" s="1"/>
  <c r="AF24" i="2"/>
  <c r="AG24" i="2"/>
  <c r="AH24" i="2"/>
  <c r="AI24" i="2"/>
  <c r="AJ24" i="2"/>
  <c r="AK24" i="2"/>
  <c r="AL24" i="2"/>
  <c r="AM24" i="2"/>
  <c r="AE25" i="2"/>
  <c r="AN25" i="2" s="1"/>
  <c r="AF25" i="2"/>
  <c r="AG25" i="2"/>
  <c r="AH25" i="2"/>
  <c r="AI25" i="2"/>
  <c r="AJ25" i="2"/>
  <c r="AK25" i="2"/>
  <c r="AL25" i="2"/>
  <c r="AM25" i="2"/>
  <c r="AE26" i="2"/>
  <c r="AN26" i="2" s="1"/>
  <c r="AF26" i="2"/>
  <c r="AG26" i="2"/>
  <c r="AH26" i="2"/>
  <c r="AI26" i="2"/>
  <c r="AJ26" i="2"/>
  <c r="AK26" i="2"/>
  <c r="AL26" i="2"/>
  <c r="AM26" i="2"/>
  <c r="AE27" i="2"/>
  <c r="AN27" i="2" s="1"/>
  <c r="AF27" i="2"/>
  <c r="AG27" i="2"/>
  <c r="AH27" i="2"/>
  <c r="AI27" i="2"/>
  <c r="AJ27" i="2"/>
  <c r="AK27" i="2"/>
  <c r="AL27" i="2"/>
  <c r="AM27" i="2"/>
  <c r="AE28" i="2"/>
  <c r="AN28" i="2" s="1"/>
  <c r="AF28" i="2"/>
  <c r="AG28" i="2"/>
  <c r="AH28" i="2"/>
  <c r="AI28" i="2"/>
  <c r="AJ28" i="2"/>
  <c r="AK28" i="2"/>
  <c r="AL28" i="2"/>
  <c r="AM28" i="2"/>
  <c r="AE29" i="2"/>
  <c r="AN29" i="2" s="1"/>
  <c r="AF29" i="2"/>
  <c r="AG29" i="2"/>
  <c r="AH29" i="2"/>
  <c r="AI29" i="2"/>
  <c r="AJ29" i="2"/>
  <c r="AK29" i="2"/>
  <c r="AL29" i="2"/>
  <c r="AM29" i="2"/>
  <c r="AE30" i="2"/>
  <c r="AN30" i="2" s="1"/>
  <c r="AF30" i="2"/>
  <c r="AG30" i="2"/>
  <c r="AH30" i="2"/>
  <c r="AI30" i="2"/>
  <c r="AJ30" i="2"/>
  <c r="AK30" i="2"/>
  <c r="AL30" i="2"/>
  <c r="AM30" i="2"/>
  <c r="AE31" i="2"/>
  <c r="AN31" i="2" s="1"/>
  <c r="AF31" i="2"/>
  <c r="AG31" i="2"/>
  <c r="AH31" i="2"/>
  <c r="AI31" i="2"/>
  <c r="AJ31" i="2"/>
  <c r="AK31" i="2"/>
  <c r="AL31" i="2"/>
  <c r="AM31" i="2"/>
  <c r="AE32" i="2"/>
  <c r="AN32" i="2" s="1"/>
  <c r="AF32" i="2"/>
  <c r="AG32" i="2"/>
  <c r="AH32" i="2"/>
  <c r="AI32" i="2"/>
  <c r="AJ32" i="2"/>
  <c r="AK32" i="2"/>
  <c r="AL32" i="2"/>
  <c r="AM32" i="2"/>
  <c r="AE33" i="2"/>
  <c r="AN33" i="2" s="1"/>
  <c r="AF33" i="2"/>
  <c r="AG33" i="2"/>
  <c r="AH33" i="2"/>
  <c r="AI33" i="2"/>
  <c r="AJ33" i="2"/>
  <c r="AK33" i="2"/>
  <c r="AL33" i="2"/>
  <c r="AM33" i="2"/>
  <c r="AE34" i="2"/>
  <c r="AN34" i="2" s="1"/>
  <c r="AF34" i="2"/>
  <c r="AG34" i="2"/>
  <c r="AH34" i="2"/>
  <c r="AI34" i="2"/>
  <c r="AJ34" i="2"/>
  <c r="AL34" i="2"/>
  <c r="AM34" i="2"/>
  <c r="AE35" i="2"/>
  <c r="AN35" i="2" s="1"/>
  <c r="AF35" i="2"/>
  <c r="AG35" i="2"/>
  <c r="AH35" i="2"/>
  <c r="AI35" i="2"/>
  <c r="AJ35" i="2"/>
  <c r="AK35" i="2"/>
  <c r="AL35" i="2"/>
  <c r="AM35" i="2"/>
  <c r="AE36" i="2"/>
  <c r="AN36" i="2" s="1"/>
  <c r="AF36" i="2"/>
  <c r="AG36" i="2"/>
  <c r="AH36" i="2"/>
  <c r="AI36" i="2"/>
  <c r="AJ36" i="2"/>
  <c r="AK36" i="2"/>
  <c r="AL36" i="2"/>
  <c r="AM36" i="2"/>
  <c r="AE37" i="2"/>
  <c r="AN37" i="2" s="1"/>
  <c r="AF37" i="2"/>
  <c r="AG37" i="2"/>
  <c r="AH37" i="2"/>
  <c r="AI37" i="2"/>
  <c r="AJ37" i="2"/>
  <c r="AK37" i="2"/>
  <c r="AL37" i="2"/>
  <c r="AM37" i="2"/>
  <c r="AE38" i="2"/>
  <c r="AN38" i="2" s="1"/>
  <c r="AF38" i="2"/>
  <c r="AG38" i="2"/>
  <c r="AH38" i="2"/>
  <c r="AI38" i="2"/>
  <c r="AJ38" i="2"/>
  <c r="AK38" i="2"/>
  <c r="AL38" i="2"/>
  <c r="AM38" i="2"/>
  <c r="AE39" i="2"/>
  <c r="AN39" i="2" s="1"/>
  <c r="AF39" i="2"/>
  <c r="AG39" i="2"/>
  <c r="AH39" i="2"/>
  <c r="AI39" i="2"/>
  <c r="AJ39" i="2"/>
  <c r="AK39" i="2"/>
  <c r="AL39" i="2"/>
  <c r="AM39" i="2"/>
  <c r="AE40" i="2"/>
  <c r="AN40" i="2" s="1"/>
  <c r="AF40" i="2"/>
  <c r="AG40" i="2"/>
  <c r="AH40" i="2"/>
  <c r="AI40" i="2"/>
  <c r="AJ40" i="2"/>
  <c r="AK40" i="2"/>
  <c r="AL40" i="2"/>
  <c r="AM40" i="2"/>
  <c r="AF9" i="2"/>
  <c r="AG9" i="2"/>
  <c r="AH9" i="2"/>
  <c r="AI9" i="2"/>
  <c r="AJ9" i="2"/>
  <c r="AK9" i="2"/>
  <c r="AL9" i="2"/>
  <c r="AM9" i="2"/>
  <c r="AE9" i="2"/>
  <c r="AN9" i="2" s="1"/>
  <c r="F8" i="2"/>
  <c r="AN10" i="2"/>
  <c r="V14" i="2"/>
  <c r="V15" i="2"/>
  <c r="V16" i="2"/>
  <c r="V17" i="2"/>
  <c r="V18" i="2"/>
  <c r="V19" i="2"/>
  <c r="V20" i="2"/>
  <c r="V21" i="2"/>
  <c r="V13" i="2"/>
  <c r="U14" i="2"/>
  <c r="U15" i="2"/>
  <c r="U16" i="2"/>
  <c r="U17" i="2"/>
  <c r="U18" i="2"/>
  <c r="U19" i="2"/>
  <c r="U20" i="2"/>
  <c r="U21" i="2"/>
  <c r="N8" i="2"/>
  <c r="F9" i="2"/>
  <c r="G9" i="2"/>
  <c r="H9" i="2"/>
  <c r="I9" i="2"/>
  <c r="J9" i="2"/>
  <c r="K9" i="2"/>
  <c r="L9" i="2"/>
  <c r="M9" i="2"/>
  <c r="N9" i="2"/>
  <c r="F10" i="2"/>
  <c r="G10" i="2"/>
  <c r="H10" i="2"/>
  <c r="I10" i="2"/>
  <c r="J10" i="2"/>
  <c r="K10" i="2"/>
  <c r="L10" i="2"/>
  <c r="M10" i="2"/>
  <c r="N10" i="2"/>
  <c r="F11" i="2"/>
  <c r="G11" i="2"/>
  <c r="H11" i="2"/>
  <c r="I11" i="2"/>
  <c r="J11" i="2"/>
  <c r="K11" i="2"/>
  <c r="L11" i="2"/>
  <c r="M11" i="2"/>
  <c r="N11" i="2"/>
  <c r="F12" i="2"/>
  <c r="G12" i="2"/>
  <c r="H12" i="2"/>
  <c r="I12" i="2"/>
  <c r="J12" i="2"/>
  <c r="K12" i="2"/>
  <c r="L12" i="2"/>
  <c r="M12" i="2"/>
  <c r="N12" i="2"/>
  <c r="F13" i="2"/>
  <c r="G13" i="2"/>
  <c r="H13" i="2"/>
  <c r="I13" i="2"/>
  <c r="J13" i="2"/>
  <c r="K13" i="2"/>
  <c r="L13" i="2"/>
  <c r="M13" i="2"/>
  <c r="N13" i="2"/>
  <c r="F14" i="2"/>
  <c r="G14" i="2"/>
  <c r="H14" i="2"/>
  <c r="I14" i="2"/>
  <c r="J14" i="2"/>
  <c r="K14" i="2"/>
  <c r="L14" i="2"/>
  <c r="M14" i="2"/>
  <c r="N14" i="2"/>
  <c r="F15" i="2"/>
  <c r="G15" i="2"/>
  <c r="H15" i="2"/>
  <c r="I15" i="2"/>
  <c r="J15" i="2"/>
  <c r="K15" i="2"/>
  <c r="L15" i="2"/>
  <c r="M15" i="2"/>
  <c r="N15" i="2"/>
  <c r="F16" i="2"/>
  <c r="G16" i="2"/>
  <c r="H16" i="2"/>
  <c r="I16" i="2"/>
  <c r="J16" i="2"/>
  <c r="K16" i="2"/>
  <c r="L16" i="2"/>
  <c r="M16" i="2"/>
  <c r="N16" i="2"/>
  <c r="F17" i="2"/>
  <c r="G17" i="2"/>
  <c r="H17" i="2"/>
  <c r="I17" i="2"/>
  <c r="J17" i="2"/>
  <c r="K17" i="2"/>
  <c r="L17" i="2"/>
  <c r="M17" i="2"/>
  <c r="N17" i="2"/>
  <c r="F18" i="2"/>
  <c r="G18" i="2"/>
  <c r="H18" i="2"/>
  <c r="I18" i="2"/>
  <c r="J18" i="2"/>
  <c r="K18" i="2"/>
  <c r="L18" i="2"/>
  <c r="M18" i="2"/>
  <c r="N18" i="2"/>
  <c r="F19" i="2"/>
  <c r="G19" i="2"/>
  <c r="H19" i="2"/>
  <c r="I19" i="2"/>
  <c r="J19" i="2"/>
  <c r="K19" i="2"/>
  <c r="L19" i="2"/>
  <c r="M19" i="2"/>
  <c r="N19" i="2"/>
  <c r="F20" i="2"/>
  <c r="G20" i="2"/>
  <c r="H20" i="2"/>
  <c r="I20" i="2"/>
  <c r="J20" i="2"/>
  <c r="K20" i="2"/>
  <c r="L20" i="2"/>
  <c r="M20" i="2"/>
  <c r="N20" i="2"/>
  <c r="F21" i="2"/>
  <c r="G21" i="2"/>
  <c r="H21" i="2"/>
  <c r="I21" i="2"/>
  <c r="J21" i="2"/>
  <c r="K21" i="2"/>
  <c r="L21" i="2"/>
  <c r="M21" i="2"/>
  <c r="N21" i="2"/>
  <c r="F22" i="2"/>
  <c r="G22" i="2"/>
  <c r="H22" i="2"/>
  <c r="I22" i="2"/>
  <c r="J22" i="2"/>
  <c r="K22" i="2"/>
  <c r="L22" i="2"/>
  <c r="M22" i="2"/>
  <c r="N22" i="2"/>
  <c r="F23" i="2"/>
  <c r="G23" i="2"/>
  <c r="H23" i="2"/>
  <c r="I23" i="2"/>
  <c r="J23" i="2"/>
  <c r="K23" i="2"/>
  <c r="L23" i="2"/>
  <c r="M23" i="2"/>
  <c r="N23" i="2"/>
  <c r="G8" i="2"/>
  <c r="H8" i="2"/>
  <c r="I8" i="2"/>
  <c r="J8" i="2"/>
  <c r="K8" i="2"/>
  <c r="L8" i="2"/>
  <c r="M8" i="2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G4" i="5" l="1"/>
  <c r="F4" i="5"/>
  <c r="G19" i="4"/>
  <c r="F20" i="4" s="1"/>
  <c r="G20" i="4" s="1"/>
  <c r="F21" i="4" s="1"/>
  <c r="G21" i="4" s="1"/>
  <c r="F22" i="4" s="1"/>
  <c r="G11" i="4"/>
  <c r="F12" i="4"/>
  <c r="G12" i="4"/>
  <c r="F13" i="4" s="1"/>
  <c r="G3" i="4"/>
  <c r="O15" i="2"/>
  <c r="O17" i="2"/>
  <c r="O18" i="2"/>
  <c r="O14" i="2"/>
  <c r="O16" i="2"/>
  <c r="O19" i="2"/>
  <c r="O20" i="2"/>
  <c r="O21" i="2"/>
  <c r="O22" i="2"/>
  <c r="O23" i="2"/>
  <c r="AQ14" i="2"/>
  <c r="AQ23" i="2"/>
  <c r="AV22" i="2" s="1"/>
  <c r="AQ22" i="2"/>
  <c r="AV21" i="2" s="1"/>
  <c r="AQ21" i="2"/>
  <c r="AV20" i="2" s="1"/>
  <c r="AQ20" i="2"/>
  <c r="AV19" i="2" s="1"/>
  <c r="AQ19" i="2"/>
  <c r="AV18" i="2" s="1"/>
  <c r="AQ18" i="2"/>
  <c r="AV17" i="2" s="1"/>
  <c r="AQ17" i="2"/>
  <c r="AV16" i="2" s="1"/>
  <c r="AQ16" i="2"/>
  <c r="AV15" i="2" s="1"/>
  <c r="AQ15" i="2"/>
  <c r="AV14" i="2" s="1"/>
  <c r="AQ7" i="2"/>
  <c r="AQ8" i="2" s="1"/>
  <c r="AQ9" i="2" s="1"/>
  <c r="O9" i="2"/>
  <c r="O11" i="2"/>
  <c r="O8" i="2"/>
  <c r="O10" i="2"/>
  <c r="O12" i="2"/>
  <c r="O13" i="2"/>
  <c r="G22" i="4" l="1"/>
  <c r="F23" i="4" s="1"/>
  <c r="G13" i="4"/>
  <c r="G4" i="4"/>
  <c r="F5" i="4" s="1"/>
  <c r="R6" i="2"/>
  <c r="R7" i="2" s="1"/>
  <c r="R8" i="2" s="1"/>
  <c r="AV23" i="2"/>
  <c r="AV24" i="2" s="1"/>
  <c r="AQ10" i="2" s="1"/>
  <c r="AQ24" i="2"/>
  <c r="R14" i="2"/>
  <c r="W13" i="2" s="1"/>
  <c r="W22" i="2" s="1"/>
  <c r="W23" i="2" s="1"/>
  <c r="R9" i="2" s="1"/>
  <c r="R15" i="2"/>
  <c r="W14" i="2" s="1"/>
  <c r="R16" i="2"/>
  <c r="W15" i="2" s="1"/>
  <c r="R17" i="2"/>
  <c r="W16" i="2" s="1"/>
  <c r="R18" i="2"/>
  <c r="W17" i="2" s="1"/>
  <c r="R19" i="2"/>
  <c r="W18" i="2" s="1"/>
  <c r="R20" i="2"/>
  <c r="W19" i="2" s="1"/>
  <c r="R21" i="2"/>
  <c r="W20" i="2" s="1"/>
  <c r="R22" i="2"/>
  <c r="W21" i="2" s="1"/>
  <c r="R13" i="2"/>
  <c r="G23" i="4" l="1"/>
  <c r="C22" i="4" s="1"/>
  <c r="E5" i="5" s="1"/>
  <c r="F15" i="4"/>
  <c r="G5" i="4"/>
  <c r="F6" i="4" s="1"/>
  <c r="R23" i="2"/>
  <c r="F5" i="5" l="1"/>
  <c r="F6" i="5" s="1"/>
  <c r="G5" i="5"/>
  <c r="G6" i="5" s="1"/>
  <c r="G15" i="4"/>
  <c r="C14" i="4" s="1"/>
  <c r="G6" i="4"/>
  <c r="F7" i="4" s="1"/>
  <c r="G7" i="4" l="1"/>
  <c r="C6" i="4" s="1"/>
</calcChain>
</file>

<file path=xl/sharedStrings.xml><?xml version="1.0" encoding="utf-8"?>
<sst xmlns="http://schemas.openxmlformats.org/spreadsheetml/2006/main" count="204" uniqueCount="121">
  <si>
    <t>параметры 1го уровня</t>
  </si>
  <si>
    <t>параметры 2го уровня</t>
  </si>
  <si>
    <t>параметры 3-го уровня</t>
  </si>
  <si>
    <t>вариант</t>
  </si>
  <si>
    <t>yy</t>
  </si>
  <si>
    <t>xxxx</t>
  </si>
  <si>
    <t>t</t>
  </si>
  <si>
    <t>М1</t>
  </si>
  <si>
    <t>L1</t>
  </si>
  <si>
    <t>v1</t>
  </si>
  <si>
    <t>М2</t>
  </si>
  <si>
    <t>L2</t>
  </si>
  <si>
    <t>V2</t>
  </si>
  <si>
    <t>М3</t>
  </si>
  <si>
    <t>L3</t>
  </si>
  <si>
    <t>V3</t>
  </si>
  <si>
    <t>N1</t>
  </si>
  <si>
    <t>Кс1</t>
  </si>
  <si>
    <t>Pз1</t>
  </si>
  <si>
    <t>Nо1</t>
  </si>
  <si>
    <t>N2</t>
  </si>
  <si>
    <t>Кс2</t>
  </si>
  <si>
    <t>Pз2</t>
  </si>
  <si>
    <t>Nо2</t>
  </si>
  <si>
    <t>N3</t>
  </si>
  <si>
    <t>Кс3</t>
  </si>
  <si>
    <t>Pз3</t>
  </si>
  <si>
    <t>Nо3</t>
  </si>
  <si>
    <t>параметр для исследования</t>
  </si>
  <si>
    <t>шаг параметра</t>
  </si>
  <si>
    <t xml:space="preserve"> 01</t>
  </si>
  <si>
    <t xml:space="preserve"> 00001</t>
  </si>
  <si>
    <t xml:space="preserve"> 02</t>
  </si>
  <si>
    <t xml:space="preserve"> 00010</t>
  </si>
  <si>
    <t xml:space="preserve"> 03</t>
  </si>
  <si>
    <t xml:space="preserve"> 00011</t>
  </si>
  <si>
    <t xml:space="preserve"> 04</t>
  </si>
  <si>
    <t xml:space="preserve"> 00100</t>
  </si>
  <si>
    <t xml:space="preserve"> 05</t>
  </si>
  <si>
    <t xml:space="preserve"> 00101</t>
  </si>
  <si>
    <t xml:space="preserve"> 06</t>
  </si>
  <si>
    <t xml:space="preserve"> 00110</t>
  </si>
  <si>
    <t>v2</t>
  </si>
  <si>
    <t xml:space="preserve"> 07</t>
  </si>
  <si>
    <t xml:space="preserve"> 00111</t>
  </si>
  <si>
    <t xml:space="preserve"> 08</t>
  </si>
  <si>
    <t xml:space="preserve"> 01000</t>
  </si>
  <si>
    <t xml:space="preserve"> 09</t>
  </si>
  <si>
    <t xml:space="preserve"> 01001</t>
  </si>
  <si>
    <t>v3</t>
  </si>
  <si>
    <t xml:space="preserve"> 10</t>
  </si>
  <si>
    <t xml:space="preserve"> 01010</t>
  </si>
  <si>
    <t xml:space="preserve"> 11</t>
  </si>
  <si>
    <t xml:space="preserve"> 01011</t>
  </si>
  <si>
    <t xml:space="preserve"> 12</t>
  </si>
  <si>
    <t xml:space="preserve"> 01100</t>
  </si>
  <si>
    <t xml:space="preserve"> 13</t>
  </si>
  <si>
    <t xml:space="preserve"> 01101</t>
  </si>
  <si>
    <t xml:space="preserve"> 14</t>
  </si>
  <si>
    <t xml:space="preserve"> 01110</t>
  </si>
  <si>
    <t xml:space="preserve"> 15</t>
  </si>
  <si>
    <t xml:space="preserve"> 01111</t>
  </si>
  <si>
    <t xml:space="preserve"> 16</t>
  </si>
  <si>
    <t xml:space="preserve"> 10001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</si>
  <si>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</si>
  <si>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</si>
  <si>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</si>
  <si>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</si>
  <si>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</si>
  <si>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</si>
  <si>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</si>
  <si>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</si>
  <si>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</si>
  <si>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</si>
  <si>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</si>
  <si>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</si>
  <si>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</si>
  <si>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</si>
  <si>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</si>
  <si>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>G</t>
  </si>
  <si>
    <t>Кодовые векторы</t>
  </si>
  <si>
    <t>Вес</t>
  </si>
  <si>
    <t>p</t>
  </si>
  <si>
    <t>d*</t>
  </si>
  <si>
    <t>Контроль</t>
  </si>
  <si>
    <t>i</t>
  </si>
  <si>
    <t>Ai</t>
  </si>
  <si>
    <t>p^i</t>
  </si>
  <si>
    <t>q^(n-i)</t>
  </si>
  <si>
    <t>Apq</t>
  </si>
  <si>
    <t>Спектр кода</t>
  </si>
  <si>
    <t>Pно</t>
  </si>
  <si>
    <t>Pо</t>
  </si>
  <si>
    <t>Tо</t>
  </si>
  <si>
    <t>Tи</t>
  </si>
  <si>
    <t>Mi</t>
  </si>
  <si>
    <t>Li</t>
  </si>
  <si>
    <t>vi</t>
  </si>
  <si>
    <t>Py11</t>
  </si>
  <si>
    <t>Py12</t>
  </si>
  <si>
    <t>Py13</t>
  </si>
  <si>
    <t>Py2i</t>
  </si>
  <si>
    <t>№ средства аутентификации</t>
  </si>
  <si>
    <t>Общее количество</t>
  </si>
  <si>
    <t>Начальное заражение</t>
  </si>
  <si>
    <t>Связность</t>
  </si>
  <si>
    <t>Вер-ть заражени</t>
  </si>
  <si>
    <t>Py31</t>
  </si>
  <si>
    <t>Niб</t>
  </si>
  <si>
    <t>Niз</t>
  </si>
  <si>
    <t>Py32</t>
  </si>
  <si>
    <t>Py33</t>
  </si>
  <si>
    <t>Звено 1</t>
  </si>
  <si>
    <t>Звено 2</t>
  </si>
  <si>
    <t>Звено 3</t>
  </si>
  <si>
    <t>Pг</t>
  </si>
  <si>
    <t>Уровень 1</t>
  </si>
  <si>
    <t>Уровень 2</t>
  </si>
  <si>
    <t>Уровень 3</t>
  </si>
  <si>
    <t>Эффективность общая</t>
  </si>
  <si>
    <t>Исследуемый параметр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</si>
</sst>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9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5" borderId="11" xfId="0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2" xfId="0" applyBorder="1"/>
    <xf numFmtId="49" fontId="0" fillId="2" borderId="13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0" xfId="0" applyFill="1"/>
    <xf numFmtId="0" fontId="0" fillId="4" borderId="13" xfId="0" applyFill="1" applyBorder="1"/>
    <xf numFmtId="0" fontId="0" fillId="4" borderId="0" xfId="0" applyFill="1"/>
    <xf numFmtId="0" fontId="0" fillId="4" borderId="15" xfId="0" applyFill="1" applyBorder="1"/>
    <xf numFmtId="0" fontId="0" fillId="4" borderId="14" xfId="0" applyFill="1" applyBorder="1"/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0" borderId="16" xfId="0" applyBorder="1"/>
    <xf numFmtId="49" fontId="0" fillId="2" borderId="17" xfId="0" applyNumberFormat="1" applyFill="1" applyBorder="1" applyAlignment="1">
      <alignment horizontal="center"/>
    </xf>
    <xf numFmtId="49" fontId="0" fillId="2" borderId="18" xfId="0" applyNumberFormat="1" applyFill="1" applyBorder="1" applyAlignment="1">
      <alignment horizontal="center"/>
    </xf>
    <xf numFmtId="1" fontId="0" fillId="3" borderId="19" xfId="0" applyNumberFormat="1" applyFill="1" applyBorder="1"/>
    <xf numFmtId="0" fontId="0" fillId="3" borderId="19" xfId="0" applyFill="1" applyBorder="1"/>
    <xf numFmtId="0" fontId="0" fillId="4" borderId="17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18" xfId="0" applyFill="1" applyBorder="1"/>
    <xf numFmtId="0" fontId="1" fillId="3" borderId="16" xfId="0" applyFont="1" applyFill="1" applyBorder="1" applyAlignment="1">
      <alignment horizontal="center"/>
    </xf>
    <xf numFmtId="1" fontId="0" fillId="0" borderId="0" xfId="0" applyNumberFormat="1"/>
    <xf numFmtId="0" fontId="0" fillId="0" borderId="15" xfId="0" applyBorder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'Обнаружение ошибок'!$Q$13:$Q$22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'Обнаружение ошибок'!$R$13:$R$22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5-4BDF-80DD-33954427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535904"/>
        <c:axId val="1461540704"/>
      </c:barChart>
      <c:catAx>
        <c:axId val="14615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40704"/>
        <c:crosses val="autoZero"/>
        <c:auto val="1"/>
        <c:lblAlgn val="ctr"/>
        <c:lblOffset val="100"/>
        <c:noMultiLvlLbl val="0"/>
      </c:catAx>
      <c:valAx>
        <c:axId val="14615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'Обнаружение ошибок'!$AP$14:$AP$23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'Обнаружение ошибок'!$AQ$14:$AQ$23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8-49F1-AFA2-EC9DC8445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531104"/>
        <c:axId val="1461530144"/>
      </c:barChart>
      <c:catAx>
        <c:axId val="14615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30144"/>
        <c:crosses val="autoZero"/>
        <c:auto val="1"/>
        <c:lblAlgn val="ctr"/>
        <c:lblOffset val="100"/>
        <c:noMultiLvlLbl val="0"/>
      </c:catAx>
      <c:valAx>
        <c:axId val="14615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'Обнаружение ошибок'!$BM$10:$BM$19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'Обнаружение ошибок'!$BN$10:$BN$19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426A-BB4E-CECF51AF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549344"/>
        <c:axId val="1461543104"/>
      </c:barChart>
      <c:catAx>
        <c:axId val="14615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43104"/>
        <c:crosses val="autoZero"/>
        <c:auto val="1"/>
        <c:lblAlgn val="ctr"/>
        <c:lblOffset val="100"/>
        <c:noMultiLvlLbl val="0"/>
      </c:catAx>
      <c:valAx>
        <c:axId val="14615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154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Итоги!$M$2</c:f>
              <c:strCache>
                <c:ptCount val="1"/>
                <c:pt idx="0">
                  <c:v>Pо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Итоги!$L$3:$L$7</c:f>
              <c:numCache>
                <c:formatCode>General</c:formatCode>
                <c:ptCount val="5"/>
                <c:pt idx="0">
                  <c:v>2950</c:v>
                </c:pt>
                <c:pt idx="1">
                  <c:v>3000</c:v>
                </c:pt>
                <c:pt idx="2">
                  <c:v>3050</c:v>
                </c:pt>
                <c:pt idx="3">
                  <c:v>3100</c:v>
                </c:pt>
                <c:pt idx="4">
                  <c:v>3150</c:v>
                </c:pt>
              </c:numCache>
            </c:numRef>
          </c:cat>
          <c:val>
            <c:numRef>
              <c:f>Итоги!$M$3:$M$7</c:f>
              <c:numCache>
                <c:formatCode>0.000000000000000</c:formatCode>
                <c:ptCount val="5"/>
                <c:pt idx="0">
                  <c:v>0.99999999456394462</c:v>
                </c:pt>
                <c:pt idx="1">
                  <c:v>0.9999999944718081</c:v>
                </c:pt>
                <c:pt idx="2">
                  <c:v>0.99999999437967146</c:v>
                </c:pt>
                <c:pt idx="3">
                  <c:v>0.99999999428753494</c:v>
                </c:pt>
                <c:pt idx="4">
                  <c:v>0.99999999419539842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6-42B7-A7CC-325164B722FD}"/>
            </c:ext>
          </c:extLst>
        </c:ser>
        <c:ser>
          <c:idx val="1"/>
          <c:order val="1"/>
          <c:tx>
            <c:strRef>
              <c:f>Итоги!$N$2</c:f>
              <c:strCache>
                <c:ptCount val="1"/>
                <c:pt idx="0">
                  <c:v>Pг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Итоги!$L$3:$L$7</c:f>
              <c:numCache>
                <c:formatCode>General</c:formatCode>
                <c:ptCount val="5"/>
                <c:pt idx="0">
                  <c:v>2950</c:v>
                </c:pt>
                <c:pt idx="1">
                  <c:v>3000</c:v>
                </c:pt>
                <c:pt idx="2">
                  <c:v>3050</c:v>
                </c:pt>
                <c:pt idx="3">
                  <c:v>3100</c:v>
                </c:pt>
                <c:pt idx="4">
                  <c:v>3150</c:v>
                </c:pt>
              </c:numCache>
            </c:numRef>
          </c:cat>
          <c:val>
            <c:numRef>
              <c:f>Итоги!$N$3:$N$7</c:f>
              <c:numCache>
                <c:formatCode>0.000000000000000</c:formatCode>
                <c:ptCount val="5"/>
                <c:pt idx="0">
                  <c:v>0.99999999332240486</c:v>
                </c:pt>
                <c:pt idx="1">
                  <c:v>0.99999999320922528</c:v>
                </c:pt>
                <c:pt idx="2">
                  <c:v>0.9999999930960457</c:v>
                </c:pt>
                <c:pt idx="3">
                  <c:v>0.99999999298286624</c:v>
                </c:pt>
                <c:pt idx="4">
                  <c:v>0.99999999286968699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E6-42B7-A7CC-325164B72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572816"/>
        <c:axId val="1930585776"/>
      </c:lineChart>
      <c:catAx>
        <c:axId val="19305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585776"/>
        <c:crosses val="autoZero"/>
        <c:auto val="1"/>
        <c:lblAlgn val="ctr"/>
        <c:lblOffset val="100"/>
        <c:noMultiLvlLbl val="0"/>
      </c:catAx>
      <c:valAx>
        <c:axId val="19305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057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12988</xdr:colOff>
      <xdr:row>4</xdr:row>
      <xdr:rowOff>17318</xdr:rowOff>
    </xdr:from>
    <xdr:to>
      <xdr:col>22</xdr:col>
      <xdr:colOff>580159</xdr:colOff>
      <xdr:row>10</xdr:row>
      <xdr:rowOff>111701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882B05C-FDC7-C842-F84F-205C7372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558511</xdr:colOff>
      <xdr:row>4</xdr:row>
      <xdr:rowOff>51954</xdr:rowOff>
    </xdr:from>
    <xdr:to>
      <xdr:col>47</xdr:col>
      <xdr:colOff>597477</xdr:colOff>
      <xdr:row>11</xdr:row>
      <xdr:rowOff>129886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76630A6-F148-78CB-449D-831D12474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82263</xdr:colOff>
      <xdr:row>1</xdr:row>
      <xdr:rowOff>51954</xdr:rowOff>
    </xdr:from>
    <xdr:to>
      <xdr:col>70</xdr:col>
      <xdr:colOff>519546</xdr:colOff>
      <xdr:row>7</xdr:row>
      <xdr:rowOff>111702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9AE1211-446D-217B-943A-150A1B4D9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8</xdr:row>
      <xdr:rowOff>15240</xdr:rowOff>
    </xdr:from>
    <xdr:to>
      <xdr:col>14</xdr:col>
      <xdr:colOff>251460</xdr:colOff>
      <xdr:row>23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12C86AF-2A5A-7DCE-ACFF-1C7200859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8FBB-2C1F-4FFE-9CF3-17243895654E}">
  <dimension ref="A1:AA365"/>
  <sheetViews>
    <sheetView topLeftCell="A2" workbookViewId="0">
      <selection activeCell="A8" sqref="A8:XFD8"/>
    </sheetView>
  </sheetViews>
  <sheetFormatPr defaultRowHeight="14.4" x14ac:dyDescent="0.3"/>
  <cols>
    <col min="3" max="3" width="11.77734375" customWidth="1"/>
    <col min="4" max="4" width="8.88671875" style="35"/>
    <col min="18" max="18" width="8.88671875" style="36"/>
    <col min="22" max="22" width="8.88671875" style="36"/>
    <col min="26" max="26" width="15.44140625" customWidth="1"/>
    <col min="27" max="27" width="11.109375" customWidth="1"/>
  </cols>
  <sheetData>
    <row r="1" spans="1:27" ht="15" thickBot="1" x14ac:dyDescent="0.35">
      <c r="B1" s="46" t="s">
        <v>0</v>
      </c>
      <c r="C1" s="47"/>
      <c r="D1" s="48" t="s">
        <v>1</v>
      </c>
      <c r="E1" s="49"/>
      <c r="F1" s="49"/>
      <c r="G1" s="49"/>
      <c r="H1" s="49"/>
      <c r="I1" s="49"/>
      <c r="J1" s="49"/>
      <c r="K1" s="49"/>
      <c r="L1" s="49"/>
      <c r="M1" s="50"/>
      <c r="N1" s="51" t="s">
        <v>2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</row>
    <row r="2" spans="1:27" s="11" customFormat="1" ht="29.4" thickBot="1" x14ac:dyDescent="0.35">
      <c r="A2" s="1" t="s">
        <v>3</v>
      </c>
      <c r="B2" s="2" t="s">
        <v>4</v>
      </c>
      <c r="C2" s="3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6" t="s">
        <v>16</v>
      </c>
      <c r="O2" s="7" t="s">
        <v>17</v>
      </c>
      <c r="P2" s="7" t="s">
        <v>18</v>
      </c>
      <c r="Q2" s="7" t="s">
        <v>19</v>
      </c>
      <c r="R2" s="8" t="s">
        <v>20</v>
      </c>
      <c r="S2" s="7" t="s">
        <v>21</v>
      </c>
      <c r="T2" s="7" t="s">
        <v>22</v>
      </c>
      <c r="U2" s="7" t="s">
        <v>23</v>
      </c>
      <c r="V2" s="8" t="s">
        <v>24</v>
      </c>
      <c r="W2" s="7" t="s">
        <v>25</v>
      </c>
      <c r="X2" s="7" t="s">
        <v>26</v>
      </c>
      <c r="Y2" s="9" t="s">
        <v>27</v>
      </c>
      <c r="Z2" s="10" t="s">
        <v>28</v>
      </c>
      <c r="AA2" s="10" t="s">
        <v>29</v>
      </c>
    </row>
    <row r="3" spans="1:27" x14ac:dyDescent="0.3">
      <c r="A3" s="12">
        <v>1</v>
      </c>
      <c r="B3" s="13" t="s">
        <v>30</v>
      </c>
      <c r="C3" s="14" t="s">
        <v>31</v>
      </c>
      <c r="D3" s="15">
        <v>15000</v>
      </c>
      <c r="E3" s="16">
        <v>26</v>
      </c>
      <c r="F3" s="16">
        <v>8</v>
      </c>
      <c r="G3" s="16">
        <v>2000</v>
      </c>
      <c r="H3" s="16">
        <v>96</v>
      </c>
      <c r="I3" s="16">
        <v>12</v>
      </c>
      <c r="J3" s="16">
        <v>3000</v>
      </c>
      <c r="K3" s="16">
        <v>128</v>
      </c>
      <c r="L3" s="16">
        <v>7</v>
      </c>
      <c r="M3" s="16">
        <v>1500</v>
      </c>
      <c r="N3" s="17">
        <v>1000</v>
      </c>
      <c r="O3" s="18">
        <v>4</v>
      </c>
      <c r="P3" s="18">
        <v>0.15</v>
      </c>
      <c r="Q3" s="18">
        <v>30</v>
      </c>
      <c r="R3" s="19">
        <v>780</v>
      </c>
      <c r="S3" s="18">
        <v>7</v>
      </c>
      <c r="T3" s="18">
        <v>0.26</v>
      </c>
      <c r="U3" s="18">
        <v>8</v>
      </c>
      <c r="V3" s="19">
        <v>560</v>
      </c>
      <c r="W3" s="18">
        <v>8</v>
      </c>
      <c r="X3" s="18">
        <v>0.23</v>
      </c>
      <c r="Y3" s="20">
        <v>14</v>
      </c>
      <c r="Z3" s="21" t="s">
        <v>7</v>
      </c>
      <c r="AA3" s="22">
        <v>2</v>
      </c>
    </row>
    <row r="4" spans="1:27" x14ac:dyDescent="0.3">
      <c r="A4" s="12">
        <v>2</v>
      </c>
      <c r="B4" s="13" t="s">
        <v>32</v>
      </c>
      <c r="C4" s="14" t="s">
        <v>33</v>
      </c>
      <c r="D4" s="15">
        <f>D3*1.05</f>
        <v>15750</v>
      </c>
      <c r="E4" s="16">
        <v>52</v>
      </c>
      <c r="F4" s="16">
        <v>6</v>
      </c>
      <c r="G4" s="15">
        <f>G3*0.95</f>
        <v>1900</v>
      </c>
      <c r="H4" s="16">
        <v>128</v>
      </c>
      <c r="I4" s="16">
        <v>11</v>
      </c>
      <c r="J4" s="16">
        <f>J3-10</f>
        <v>2990</v>
      </c>
      <c r="K4" s="16">
        <v>256</v>
      </c>
      <c r="L4" s="16">
        <v>6</v>
      </c>
      <c r="M4" s="16">
        <f>M3+15</f>
        <v>1515</v>
      </c>
      <c r="N4" s="17">
        <f>N3-20</f>
        <v>980</v>
      </c>
      <c r="O4" s="18">
        <v>5</v>
      </c>
      <c r="P4" s="18">
        <v>0.16</v>
      </c>
      <c r="Q4" s="18">
        <f>Q3-2</f>
        <v>28</v>
      </c>
      <c r="R4" s="19">
        <v>760</v>
      </c>
      <c r="S4" s="18">
        <v>8</v>
      </c>
      <c r="T4" s="18">
        <v>0.27</v>
      </c>
      <c r="U4" s="18">
        <v>6</v>
      </c>
      <c r="V4" s="19">
        <v>540</v>
      </c>
      <c r="W4" s="18">
        <v>6</v>
      </c>
      <c r="X4" s="18">
        <v>0.24</v>
      </c>
      <c r="Y4" s="20">
        <v>16</v>
      </c>
      <c r="Z4" s="21" t="s">
        <v>8</v>
      </c>
      <c r="AA4" s="22">
        <v>2</v>
      </c>
    </row>
    <row r="5" spans="1:27" x14ac:dyDescent="0.3">
      <c r="A5" s="12">
        <v>3</v>
      </c>
      <c r="B5" s="13" t="s">
        <v>34</v>
      </c>
      <c r="C5" s="14" t="s">
        <v>35</v>
      </c>
      <c r="D5" s="15">
        <f t="shared" ref="D5:D33" si="0">D4*1.05</f>
        <v>16537.5</v>
      </c>
      <c r="E5" s="16">
        <v>62</v>
      </c>
      <c r="F5" s="16">
        <v>6</v>
      </c>
      <c r="G5" s="15">
        <f t="shared" ref="G5:G33" si="1">G4*0.95</f>
        <v>1805</v>
      </c>
      <c r="H5" s="16">
        <v>256</v>
      </c>
      <c r="I5" s="16">
        <v>10</v>
      </c>
      <c r="J5" s="16">
        <f t="shared" ref="J5:J33" si="2">J4-10</f>
        <v>2980</v>
      </c>
      <c r="K5" s="16">
        <v>48</v>
      </c>
      <c r="L5" s="16">
        <v>6</v>
      </c>
      <c r="M5" s="16">
        <f t="shared" ref="M5:M33" si="3">M4+15</f>
        <v>1530</v>
      </c>
      <c r="N5" s="17">
        <f t="shared" ref="N5:N33" si="4">N4-20</f>
        <v>960</v>
      </c>
      <c r="O5" s="18">
        <v>6</v>
      </c>
      <c r="P5" s="18">
        <v>0.17</v>
      </c>
      <c r="Q5" s="18">
        <f t="shared" ref="Q5:Q18" si="5">Q4-2</f>
        <v>26</v>
      </c>
      <c r="R5" s="19">
        <v>740</v>
      </c>
      <c r="S5" s="18">
        <v>4</v>
      </c>
      <c r="T5" s="18">
        <v>0.28000000000000003</v>
      </c>
      <c r="U5" s="18">
        <v>4</v>
      </c>
      <c r="V5" s="19">
        <v>520</v>
      </c>
      <c r="W5" s="18">
        <v>7</v>
      </c>
      <c r="X5" s="18">
        <v>0.25</v>
      </c>
      <c r="Y5" s="20">
        <v>18</v>
      </c>
      <c r="Z5" s="21" t="s">
        <v>9</v>
      </c>
      <c r="AA5" s="22">
        <v>50</v>
      </c>
    </row>
    <row r="6" spans="1:27" x14ac:dyDescent="0.3">
      <c r="A6" s="12">
        <v>4</v>
      </c>
      <c r="B6" s="13" t="s">
        <v>36</v>
      </c>
      <c r="C6" s="14" t="s">
        <v>37</v>
      </c>
      <c r="D6" s="15">
        <f t="shared" si="0"/>
        <v>17364.375</v>
      </c>
      <c r="E6" s="16">
        <v>64</v>
      </c>
      <c r="F6" s="16">
        <v>7</v>
      </c>
      <c r="G6" s="15">
        <f t="shared" si="1"/>
        <v>1714.75</v>
      </c>
      <c r="H6" s="16">
        <v>48</v>
      </c>
      <c r="I6" s="16">
        <v>9</v>
      </c>
      <c r="J6" s="16">
        <f t="shared" si="2"/>
        <v>2970</v>
      </c>
      <c r="K6" s="16">
        <v>54</v>
      </c>
      <c r="L6" s="16">
        <v>7</v>
      </c>
      <c r="M6" s="16">
        <f t="shared" si="3"/>
        <v>1545</v>
      </c>
      <c r="N6" s="17">
        <f t="shared" si="4"/>
        <v>940</v>
      </c>
      <c r="O6" s="18">
        <v>7</v>
      </c>
      <c r="P6" s="18">
        <v>0.18</v>
      </c>
      <c r="Q6" s="18">
        <f t="shared" si="5"/>
        <v>24</v>
      </c>
      <c r="R6" s="19">
        <v>720</v>
      </c>
      <c r="S6" s="18">
        <v>5</v>
      </c>
      <c r="T6" s="18">
        <v>0.15</v>
      </c>
      <c r="U6" s="18">
        <v>2</v>
      </c>
      <c r="V6" s="19">
        <v>500</v>
      </c>
      <c r="W6" s="18">
        <v>8</v>
      </c>
      <c r="X6" s="18">
        <v>0.26</v>
      </c>
      <c r="Y6" s="20">
        <v>20</v>
      </c>
      <c r="Z6" s="21" t="s">
        <v>10</v>
      </c>
      <c r="AA6" s="22">
        <v>2</v>
      </c>
    </row>
    <row r="7" spans="1:27" x14ac:dyDescent="0.3">
      <c r="A7" s="12">
        <v>5</v>
      </c>
      <c r="B7" s="13" t="s">
        <v>38</v>
      </c>
      <c r="C7" s="14" t="s">
        <v>39</v>
      </c>
      <c r="D7" s="15">
        <f t="shared" si="0"/>
        <v>18232.59375</v>
      </c>
      <c r="E7" s="16">
        <v>96</v>
      </c>
      <c r="F7" s="16">
        <v>8</v>
      </c>
      <c r="G7" s="15">
        <f t="shared" si="1"/>
        <v>1629.0124999999998</v>
      </c>
      <c r="H7" s="16">
        <v>54</v>
      </c>
      <c r="I7" s="16">
        <v>8</v>
      </c>
      <c r="J7" s="16">
        <f t="shared" si="2"/>
        <v>2960</v>
      </c>
      <c r="K7" s="16">
        <v>64</v>
      </c>
      <c r="L7" s="16">
        <v>12</v>
      </c>
      <c r="M7" s="16">
        <f t="shared" si="3"/>
        <v>1560</v>
      </c>
      <c r="N7" s="17">
        <f t="shared" si="4"/>
        <v>920</v>
      </c>
      <c r="O7" s="18">
        <v>8</v>
      </c>
      <c r="P7" s="18">
        <v>0.19</v>
      </c>
      <c r="Q7" s="18">
        <f t="shared" si="5"/>
        <v>22</v>
      </c>
      <c r="R7" s="19">
        <v>700</v>
      </c>
      <c r="S7" s="18">
        <v>6</v>
      </c>
      <c r="T7" s="18">
        <v>0.16</v>
      </c>
      <c r="U7" s="18">
        <v>0</v>
      </c>
      <c r="V7" s="19">
        <v>480</v>
      </c>
      <c r="W7" s="18">
        <v>4</v>
      </c>
      <c r="X7" s="18">
        <v>0.27</v>
      </c>
      <c r="Y7" s="20">
        <v>22</v>
      </c>
      <c r="Z7" s="21" t="s">
        <v>11</v>
      </c>
      <c r="AA7" s="22">
        <v>1</v>
      </c>
    </row>
    <row r="8" spans="1:27" x14ac:dyDescent="0.3">
      <c r="A8" s="12">
        <v>6</v>
      </c>
      <c r="B8" s="13" t="s">
        <v>40</v>
      </c>
      <c r="C8" s="14" t="s">
        <v>41</v>
      </c>
      <c r="D8" s="15">
        <f t="shared" si="0"/>
        <v>19144.223437500001</v>
      </c>
      <c r="E8" s="16">
        <v>128</v>
      </c>
      <c r="F8" s="16">
        <v>9</v>
      </c>
      <c r="G8" s="15">
        <f t="shared" si="1"/>
        <v>1547.5618749999996</v>
      </c>
      <c r="H8" s="16">
        <v>64</v>
      </c>
      <c r="I8" s="16">
        <v>7</v>
      </c>
      <c r="J8" s="16">
        <f t="shared" si="2"/>
        <v>2950</v>
      </c>
      <c r="K8" s="16">
        <v>68</v>
      </c>
      <c r="L8" s="16">
        <v>11</v>
      </c>
      <c r="M8" s="16">
        <f t="shared" si="3"/>
        <v>1575</v>
      </c>
      <c r="N8" s="17">
        <f t="shared" si="4"/>
        <v>900</v>
      </c>
      <c r="O8" s="18">
        <v>4</v>
      </c>
      <c r="P8" s="18">
        <v>0.2</v>
      </c>
      <c r="Q8" s="18">
        <f t="shared" si="5"/>
        <v>20</v>
      </c>
      <c r="R8" s="19">
        <v>680</v>
      </c>
      <c r="S8" s="18">
        <v>7</v>
      </c>
      <c r="T8" s="18">
        <v>0.17</v>
      </c>
      <c r="U8" s="18">
        <v>2</v>
      </c>
      <c r="V8" s="19">
        <v>460</v>
      </c>
      <c r="W8" s="18">
        <v>5</v>
      </c>
      <c r="X8" s="18">
        <v>0.28000000000000003</v>
      </c>
      <c r="Y8" s="20">
        <v>24</v>
      </c>
      <c r="Z8" s="21" t="s">
        <v>42</v>
      </c>
      <c r="AA8" s="22">
        <v>50</v>
      </c>
    </row>
    <row r="9" spans="1:27" x14ac:dyDescent="0.3">
      <c r="A9" s="12">
        <v>7</v>
      </c>
      <c r="B9" s="13" t="s">
        <v>43</v>
      </c>
      <c r="C9" s="14" t="s">
        <v>44</v>
      </c>
      <c r="D9" s="15">
        <f t="shared" si="0"/>
        <v>20101.434609375003</v>
      </c>
      <c r="E9" s="16">
        <v>256</v>
      </c>
      <c r="F9" s="16">
        <v>10</v>
      </c>
      <c r="G9" s="15">
        <f t="shared" si="1"/>
        <v>1470.1837812499996</v>
      </c>
      <c r="H9" s="16">
        <v>68</v>
      </c>
      <c r="I9" s="16">
        <v>6</v>
      </c>
      <c r="J9" s="16">
        <f t="shared" si="2"/>
        <v>2940</v>
      </c>
      <c r="K9" s="16">
        <v>98</v>
      </c>
      <c r="L9" s="16">
        <v>10</v>
      </c>
      <c r="M9" s="16">
        <f t="shared" si="3"/>
        <v>1590</v>
      </c>
      <c r="N9" s="17">
        <f t="shared" si="4"/>
        <v>880</v>
      </c>
      <c r="O9" s="18">
        <v>5</v>
      </c>
      <c r="P9" s="18">
        <v>0.21</v>
      </c>
      <c r="Q9" s="18">
        <f t="shared" si="5"/>
        <v>18</v>
      </c>
      <c r="R9" s="19">
        <v>660</v>
      </c>
      <c r="S9" s="18">
        <v>8</v>
      </c>
      <c r="T9" s="18">
        <v>0.18</v>
      </c>
      <c r="U9" s="18">
        <v>4</v>
      </c>
      <c r="V9" s="19">
        <v>440</v>
      </c>
      <c r="W9" s="18">
        <v>6</v>
      </c>
      <c r="X9" s="18">
        <v>0.19</v>
      </c>
      <c r="Y9" s="20">
        <v>26</v>
      </c>
      <c r="Z9" s="21" t="s">
        <v>13</v>
      </c>
      <c r="AA9" s="22">
        <v>2</v>
      </c>
    </row>
    <row r="10" spans="1:27" x14ac:dyDescent="0.3">
      <c r="A10" s="12">
        <v>8</v>
      </c>
      <c r="B10" s="13" t="s">
        <v>45</v>
      </c>
      <c r="C10" s="14" t="s">
        <v>46</v>
      </c>
      <c r="D10" s="15">
        <f t="shared" si="0"/>
        <v>21106.506339843752</v>
      </c>
      <c r="E10" s="16">
        <v>48</v>
      </c>
      <c r="F10" s="16">
        <v>8</v>
      </c>
      <c r="G10" s="15">
        <f t="shared" si="1"/>
        <v>1396.6745921874995</v>
      </c>
      <c r="H10" s="16">
        <v>98</v>
      </c>
      <c r="I10" s="16">
        <v>7</v>
      </c>
      <c r="J10" s="16">
        <f t="shared" si="2"/>
        <v>2930</v>
      </c>
      <c r="K10" s="16">
        <v>24</v>
      </c>
      <c r="L10" s="16">
        <v>9</v>
      </c>
      <c r="M10" s="16">
        <f t="shared" si="3"/>
        <v>1605</v>
      </c>
      <c r="N10" s="17">
        <f t="shared" si="4"/>
        <v>860</v>
      </c>
      <c r="O10" s="18">
        <v>6</v>
      </c>
      <c r="P10" s="18">
        <v>0.22</v>
      </c>
      <c r="Q10" s="18">
        <f t="shared" si="5"/>
        <v>16</v>
      </c>
      <c r="R10" s="19">
        <v>640</v>
      </c>
      <c r="S10" s="18">
        <v>4</v>
      </c>
      <c r="T10" s="18">
        <v>0.19</v>
      </c>
      <c r="U10" s="18">
        <v>6</v>
      </c>
      <c r="V10" s="19">
        <v>420</v>
      </c>
      <c r="W10" s="18">
        <v>7</v>
      </c>
      <c r="X10" s="18">
        <v>0.2</v>
      </c>
      <c r="Y10" s="20">
        <v>28</v>
      </c>
      <c r="Z10" s="21" t="s">
        <v>14</v>
      </c>
      <c r="AA10" s="22">
        <v>1</v>
      </c>
    </row>
    <row r="11" spans="1:27" x14ac:dyDescent="0.3">
      <c r="A11" s="12">
        <v>9</v>
      </c>
      <c r="B11" s="13" t="s">
        <v>47</v>
      </c>
      <c r="C11" s="14" t="s">
        <v>48</v>
      </c>
      <c r="D11" s="15">
        <f t="shared" si="0"/>
        <v>22161.831656835941</v>
      </c>
      <c r="E11" s="16">
        <v>54</v>
      </c>
      <c r="F11" s="16">
        <v>6</v>
      </c>
      <c r="G11" s="15">
        <f t="shared" si="1"/>
        <v>1326.8408625781244</v>
      </c>
      <c r="H11" s="16">
        <v>24</v>
      </c>
      <c r="I11" s="16">
        <v>7</v>
      </c>
      <c r="J11" s="16">
        <f t="shared" si="2"/>
        <v>2920</v>
      </c>
      <c r="K11" s="16">
        <v>26</v>
      </c>
      <c r="L11" s="16">
        <v>10</v>
      </c>
      <c r="M11" s="16">
        <f t="shared" si="3"/>
        <v>1620</v>
      </c>
      <c r="N11" s="17">
        <f t="shared" si="4"/>
        <v>840</v>
      </c>
      <c r="O11" s="18">
        <v>7</v>
      </c>
      <c r="P11" s="18">
        <v>0.23</v>
      </c>
      <c r="Q11" s="18">
        <f t="shared" si="5"/>
        <v>14</v>
      </c>
      <c r="R11" s="19">
        <v>620</v>
      </c>
      <c r="S11" s="18">
        <v>5</v>
      </c>
      <c r="T11" s="18">
        <v>0.2</v>
      </c>
      <c r="U11" s="18">
        <v>8</v>
      </c>
      <c r="V11" s="19">
        <v>400</v>
      </c>
      <c r="W11" s="18">
        <v>8</v>
      </c>
      <c r="X11" s="18">
        <v>0.21</v>
      </c>
      <c r="Y11" s="20">
        <v>30</v>
      </c>
      <c r="Z11" s="21" t="s">
        <v>49</v>
      </c>
      <c r="AA11" s="22">
        <v>50</v>
      </c>
    </row>
    <row r="12" spans="1:27" x14ac:dyDescent="0.3">
      <c r="A12" s="12">
        <v>10</v>
      </c>
      <c r="B12" s="13" t="s">
        <v>50</v>
      </c>
      <c r="C12" s="14" t="s">
        <v>51</v>
      </c>
      <c r="D12" s="15">
        <f t="shared" si="0"/>
        <v>23269.923239677737</v>
      </c>
      <c r="E12" s="16">
        <v>64</v>
      </c>
      <c r="F12" s="16">
        <v>6</v>
      </c>
      <c r="G12" s="15">
        <f t="shared" si="1"/>
        <v>1260.4988194492182</v>
      </c>
      <c r="H12" s="16">
        <v>26</v>
      </c>
      <c r="I12" s="16">
        <v>12</v>
      </c>
      <c r="J12" s="16">
        <f t="shared" si="2"/>
        <v>2910</v>
      </c>
      <c r="K12" s="16">
        <v>62</v>
      </c>
      <c r="L12" s="16">
        <v>9</v>
      </c>
      <c r="M12" s="16">
        <f t="shared" si="3"/>
        <v>1635</v>
      </c>
      <c r="N12" s="17">
        <f t="shared" si="4"/>
        <v>820</v>
      </c>
      <c r="O12" s="18">
        <v>8</v>
      </c>
      <c r="P12" s="18">
        <v>0.24</v>
      </c>
      <c r="Q12" s="18">
        <f t="shared" si="5"/>
        <v>12</v>
      </c>
      <c r="R12" s="19">
        <v>600</v>
      </c>
      <c r="S12" s="18">
        <v>6</v>
      </c>
      <c r="T12" s="18">
        <v>0.21</v>
      </c>
      <c r="U12" s="18">
        <v>10</v>
      </c>
      <c r="V12" s="19">
        <v>700</v>
      </c>
      <c r="W12" s="18">
        <v>6</v>
      </c>
      <c r="X12" s="18">
        <v>0.16</v>
      </c>
      <c r="Y12" s="20">
        <v>0</v>
      </c>
      <c r="Z12" s="23" t="s">
        <v>16</v>
      </c>
      <c r="AA12" s="24">
        <v>10</v>
      </c>
    </row>
    <row r="13" spans="1:27" x14ac:dyDescent="0.3">
      <c r="A13" s="12">
        <v>11</v>
      </c>
      <c r="B13" s="13" t="s">
        <v>52</v>
      </c>
      <c r="C13" s="14" t="s">
        <v>53</v>
      </c>
      <c r="D13" s="15">
        <f t="shared" si="0"/>
        <v>24433.419401661624</v>
      </c>
      <c r="E13" s="16">
        <v>68</v>
      </c>
      <c r="F13" s="16">
        <v>7</v>
      </c>
      <c r="G13" s="15">
        <f t="shared" si="1"/>
        <v>1197.4738784767574</v>
      </c>
      <c r="H13" s="16">
        <v>62</v>
      </c>
      <c r="I13" s="16">
        <v>11</v>
      </c>
      <c r="J13" s="16">
        <f t="shared" si="2"/>
        <v>2900</v>
      </c>
      <c r="K13" s="16">
        <v>64</v>
      </c>
      <c r="L13" s="16">
        <v>8</v>
      </c>
      <c r="M13" s="16">
        <f t="shared" si="3"/>
        <v>1650</v>
      </c>
      <c r="N13" s="17">
        <f t="shared" si="4"/>
        <v>800</v>
      </c>
      <c r="O13" s="18">
        <v>6</v>
      </c>
      <c r="P13" s="18">
        <v>0.25</v>
      </c>
      <c r="Q13" s="18">
        <f t="shared" si="5"/>
        <v>10</v>
      </c>
      <c r="R13" s="19">
        <v>580</v>
      </c>
      <c r="S13" s="18">
        <v>7</v>
      </c>
      <c r="T13" s="18">
        <v>0.22</v>
      </c>
      <c r="U13" s="18">
        <v>12</v>
      </c>
      <c r="V13" s="19">
        <v>680</v>
      </c>
      <c r="W13" s="18">
        <v>7</v>
      </c>
      <c r="X13" s="18">
        <v>0.17</v>
      </c>
      <c r="Y13" s="20">
        <v>2</v>
      </c>
      <c r="Z13" s="23" t="s">
        <v>17</v>
      </c>
      <c r="AA13" s="24">
        <v>1</v>
      </c>
    </row>
    <row r="14" spans="1:27" x14ac:dyDescent="0.3">
      <c r="A14" s="12">
        <v>12</v>
      </c>
      <c r="B14" s="13" t="s">
        <v>54</v>
      </c>
      <c r="C14" s="14" t="s">
        <v>55</v>
      </c>
      <c r="D14" s="15">
        <f t="shared" si="0"/>
        <v>25655.090371744707</v>
      </c>
      <c r="E14" s="16">
        <v>98</v>
      </c>
      <c r="F14" s="16">
        <v>8</v>
      </c>
      <c r="G14" s="15">
        <f t="shared" si="1"/>
        <v>1137.6001845529195</v>
      </c>
      <c r="H14" s="16">
        <v>64</v>
      </c>
      <c r="I14" s="16">
        <v>10</v>
      </c>
      <c r="J14" s="16">
        <f t="shared" si="2"/>
        <v>2890</v>
      </c>
      <c r="K14" s="16">
        <v>128</v>
      </c>
      <c r="L14" s="16">
        <v>7</v>
      </c>
      <c r="M14" s="16">
        <f t="shared" si="3"/>
        <v>1665</v>
      </c>
      <c r="N14" s="17">
        <f t="shared" si="4"/>
        <v>780</v>
      </c>
      <c r="O14" s="18">
        <v>7</v>
      </c>
      <c r="P14" s="18">
        <v>0.26</v>
      </c>
      <c r="Q14" s="18">
        <f t="shared" si="5"/>
        <v>8</v>
      </c>
      <c r="R14" s="19">
        <v>1000</v>
      </c>
      <c r="S14" s="18">
        <v>4</v>
      </c>
      <c r="T14" s="18">
        <v>0.15</v>
      </c>
      <c r="U14" s="18">
        <v>30</v>
      </c>
      <c r="V14" s="19">
        <v>660</v>
      </c>
      <c r="W14" s="18">
        <v>8</v>
      </c>
      <c r="X14" s="18">
        <v>0.18</v>
      </c>
      <c r="Y14" s="20">
        <v>4</v>
      </c>
      <c r="Z14" s="23" t="s">
        <v>18</v>
      </c>
      <c r="AA14" s="24">
        <v>0.01</v>
      </c>
    </row>
    <row r="15" spans="1:27" x14ac:dyDescent="0.3">
      <c r="A15" s="12">
        <v>13</v>
      </c>
      <c r="B15" s="13" t="s">
        <v>56</v>
      </c>
      <c r="C15" s="14" t="s">
        <v>57</v>
      </c>
      <c r="D15" s="15">
        <f t="shared" si="0"/>
        <v>26937.844890331944</v>
      </c>
      <c r="E15" s="16">
        <v>24</v>
      </c>
      <c r="F15" s="16">
        <v>9</v>
      </c>
      <c r="G15" s="15">
        <f t="shared" si="1"/>
        <v>1080.7201753252734</v>
      </c>
      <c r="H15" s="16">
        <v>96</v>
      </c>
      <c r="I15" s="16">
        <v>9</v>
      </c>
      <c r="J15" s="16">
        <f t="shared" si="2"/>
        <v>2880</v>
      </c>
      <c r="K15" s="16">
        <v>256</v>
      </c>
      <c r="L15" s="16">
        <v>6</v>
      </c>
      <c r="M15" s="16">
        <f t="shared" si="3"/>
        <v>1680</v>
      </c>
      <c r="N15" s="17">
        <f t="shared" si="4"/>
        <v>760</v>
      </c>
      <c r="O15" s="18">
        <v>8</v>
      </c>
      <c r="P15" s="18">
        <v>0.27</v>
      </c>
      <c r="Q15" s="18">
        <f t="shared" si="5"/>
        <v>6</v>
      </c>
      <c r="R15" s="19">
        <v>980</v>
      </c>
      <c r="S15" s="18">
        <v>5</v>
      </c>
      <c r="T15" s="18">
        <v>0.16</v>
      </c>
      <c r="U15" s="18">
        <v>28</v>
      </c>
      <c r="V15" s="19">
        <v>640</v>
      </c>
      <c r="W15" s="18">
        <v>4</v>
      </c>
      <c r="X15" s="18">
        <v>0.19</v>
      </c>
      <c r="Y15" s="20">
        <v>6</v>
      </c>
      <c r="Z15" s="23" t="s">
        <v>19</v>
      </c>
      <c r="AA15" s="24">
        <v>5</v>
      </c>
    </row>
    <row r="16" spans="1:27" x14ac:dyDescent="0.3">
      <c r="A16" s="12">
        <v>14</v>
      </c>
      <c r="B16" s="13" t="s">
        <v>58</v>
      </c>
      <c r="C16" s="14" t="s">
        <v>59</v>
      </c>
      <c r="D16" s="15">
        <f t="shared" si="0"/>
        <v>28284.737134848543</v>
      </c>
      <c r="E16" s="16">
        <v>26</v>
      </c>
      <c r="F16" s="16">
        <v>10</v>
      </c>
      <c r="G16" s="15">
        <f t="shared" si="1"/>
        <v>1026.6841665590098</v>
      </c>
      <c r="H16" s="16">
        <v>128</v>
      </c>
      <c r="I16" s="16">
        <v>8</v>
      </c>
      <c r="J16" s="16">
        <f t="shared" si="2"/>
        <v>2870</v>
      </c>
      <c r="K16" s="16">
        <v>48</v>
      </c>
      <c r="L16" s="16">
        <v>6</v>
      </c>
      <c r="M16" s="16">
        <f t="shared" si="3"/>
        <v>1695</v>
      </c>
      <c r="N16" s="17">
        <f t="shared" si="4"/>
        <v>740</v>
      </c>
      <c r="O16" s="18">
        <v>4</v>
      </c>
      <c r="P16" s="18">
        <v>0.28000000000000003</v>
      </c>
      <c r="Q16" s="18">
        <f t="shared" si="5"/>
        <v>4</v>
      </c>
      <c r="R16" s="19">
        <v>960</v>
      </c>
      <c r="S16" s="18">
        <v>6</v>
      </c>
      <c r="T16" s="18">
        <v>0.17</v>
      </c>
      <c r="U16" s="18">
        <v>26</v>
      </c>
      <c r="V16" s="19">
        <v>620</v>
      </c>
      <c r="W16" s="18">
        <v>5</v>
      </c>
      <c r="X16" s="18">
        <v>0.2</v>
      </c>
      <c r="Y16" s="20">
        <v>8</v>
      </c>
      <c r="Z16" s="21" t="s">
        <v>7</v>
      </c>
      <c r="AA16" s="22">
        <v>2</v>
      </c>
    </row>
    <row r="17" spans="1:27" x14ac:dyDescent="0.3">
      <c r="A17" s="12">
        <v>15</v>
      </c>
      <c r="B17" s="13" t="s">
        <v>60</v>
      </c>
      <c r="C17" s="14" t="s">
        <v>61</v>
      </c>
      <c r="D17" s="15">
        <f t="shared" si="0"/>
        <v>29698.97399159097</v>
      </c>
      <c r="E17" s="16">
        <v>52</v>
      </c>
      <c r="F17" s="16">
        <v>8</v>
      </c>
      <c r="G17" s="15">
        <f t="shared" si="1"/>
        <v>975.34995823105919</v>
      </c>
      <c r="H17" s="16">
        <v>256</v>
      </c>
      <c r="I17" s="16">
        <v>7</v>
      </c>
      <c r="J17" s="16">
        <f t="shared" si="2"/>
        <v>2860</v>
      </c>
      <c r="K17" s="16">
        <v>54</v>
      </c>
      <c r="L17" s="16">
        <v>7</v>
      </c>
      <c r="M17" s="16">
        <f t="shared" si="3"/>
        <v>1710</v>
      </c>
      <c r="N17" s="17">
        <f t="shared" si="4"/>
        <v>720</v>
      </c>
      <c r="O17" s="18">
        <v>5</v>
      </c>
      <c r="P17" s="18">
        <v>0.15</v>
      </c>
      <c r="Q17" s="18">
        <f t="shared" si="5"/>
        <v>2</v>
      </c>
      <c r="R17" s="19">
        <v>940</v>
      </c>
      <c r="S17" s="18">
        <v>7</v>
      </c>
      <c r="T17" s="18">
        <v>0.18</v>
      </c>
      <c r="U17" s="18">
        <v>24</v>
      </c>
      <c r="V17" s="19">
        <v>600</v>
      </c>
      <c r="W17" s="18">
        <v>6</v>
      </c>
      <c r="X17" s="18">
        <v>0.21</v>
      </c>
      <c r="Y17" s="20">
        <v>10</v>
      </c>
      <c r="Z17" s="21" t="s">
        <v>8</v>
      </c>
      <c r="AA17" s="22">
        <v>1</v>
      </c>
    </row>
    <row r="18" spans="1:27" x14ac:dyDescent="0.3">
      <c r="A18" s="12">
        <v>16</v>
      </c>
      <c r="B18" s="13" t="s">
        <v>62</v>
      </c>
      <c r="C18" s="14" t="s">
        <v>63</v>
      </c>
      <c r="D18" s="15">
        <f t="shared" si="0"/>
        <v>31183.922691170519</v>
      </c>
      <c r="E18" s="16">
        <v>62</v>
      </c>
      <c r="F18" s="16">
        <v>5</v>
      </c>
      <c r="G18" s="15">
        <f t="shared" si="1"/>
        <v>926.58246031950614</v>
      </c>
      <c r="H18" s="16">
        <v>48</v>
      </c>
      <c r="I18" s="16">
        <v>6</v>
      </c>
      <c r="J18" s="16">
        <f t="shared" si="2"/>
        <v>2850</v>
      </c>
      <c r="K18" s="16">
        <v>64</v>
      </c>
      <c r="L18" s="16">
        <v>12</v>
      </c>
      <c r="M18" s="16">
        <f t="shared" si="3"/>
        <v>1725</v>
      </c>
      <c r="N18" s="17">
        <f t="shared" si="4"/>
        <v>700</v>
      </c>
      <c r="O18" s="18">
        <v>6</v>
      </c>
      <c r="P18" s="18">
        <v>0.16</v>
      </c>
      <c r="Q18" s="18">
        <f t="shared" si="5"/>
        <v>0</v>
      </c>
      <c r="R18" s="19">
        <v>920</v>
      </c>
      <c r="S18" s="18">
        <v>8</v>
      </c>
      <c r="T18" s="18">
        <v>0.19</v>
      </c>
      <c r="U18" s="18">
        <v>22</v>
      </c>
      <c r="V18" s="19">
        <v>580</v>
      </c>
      <c r="W18" s="18">
        <v>7</v>
      </c>
      <c r="X18" s="18">
        <v>0.22</v>
      </c>
      <c r="Y18" s="20">
        <v>12</v>
      </c>
      <c r="Z18" s="21" t="s">
        <v>9</v>
      </c>
      <c r="AA18" s="22">
        <v>50</v>
      </c>
    </row>
    <row r="19" spans="1:27" x14ac:dyDescent="0.3">
      <c r="A19" s="12">
        <v>17</v>
      </c>
      <c r="B19" s="13" t="s">
        <v>64</v>
      </c>
      <c r="C19" s="14">
        <v>10001</v>
      </c>
      <c r="D19" s="15">
        <f t="shared" si="0"/>
        <v>32743.118825729045</v>
      </c>
      <c r="E19" s="16">
        <v>64</v>
      </c>
      <c r="F19" s="16">
        <v>6</v>
      </c>
      <c r="G19" s="15">
        <f t="shared" si="1"/>
        <v>880.25333730353077</v>
      </c>
      <c r="H19" s="16">
        <v>54</v>
      </c>
      <c r="I19" s="16">
        <v>6</v>
      </c>
      <c r="J19" s="16">
        <f t="shared" si="2"/>
        <v>2840</v>
      </c>
      <c r="K19" s="16">
        <v>68</v>
      </c>
      <c r="L19" s="16">
        <v>11</v>
      </c>
      <c r="M19" s="16">
        <f t="shared" si="3"/>
        <v>1740</v>
      </c>
      <c r="N19" s="17">
        <f t="shared" si="4"/>
        <v>680</v>
      </c>
      <c r="O19" s="18">
        <v>7</v>
      </c>
      <c r="P19" s="18">
        <v>0.17</v>
      </c>
      <c r="Q19" s="18">
        <f>Q18+2</f>
        <v>2</v>
      </c>
      <c r="R19" s="19">
        <v>900</v>
      </c>
      <c r="S19" s="18">
        <v>4</v>
      </c>
      <c r="T19" s="18">
        <v>0.2</v>
      </c>
      <c r="U19" s="18">
        <v>20</v>
      </c>
      <c r="V19" s="19">
        <v>1000</v>
      </c>
      <c r="W19" s="18">
        <v>4</v>
      </c>
      <c r="X19" s="18">
        <v>0.15</v>
      </c>
      <c r="Y19" s="20">
        <v>30</v>
      </c>
      <c r="Z19" s="21" t="s">
        <v>10</v>
      </c>
      <c r="AA19" s="22">
        <v>2</v>
      </c>
    </row>
    <row r="20" spans="1:27" x14ac:dyDescent="0.3">
      <c r="A20" s="12">
        <v>18</v>
      </c>
      <c r="B20" s="13" t="s">
        <v>65</v>
      </c>
      <c r="C20" s="14">
        <v>10010</v>
      </c>
      <c r="D20" s="15">
        <f t="shared" si="0"/>
        <v>34380.2747670155</v>
      </c>
      <c r="E20" s="16">
        <v>96</v>
      </c>
      <c r="F20" s="16">
        <v>7</v>
      </c>
      <c r="G20" s="15">
        <f t="shared" si="1"/>
        <v>836.24067043835419</v>
      </c>
      <c r="H20" s="16">
        <v>64</v>
      </c>
      <c r="I20" s="16">
        <v>7</v>
      </c>
      <c r="J20" s="16">
        <f t="shared" si="2"/>
        <v>2830</v>
      </c>
      <c r="K20" s="16">
        <v>98</v>
      </c>
      <c r="L20" s="16">
        <v>10</v>
      </c>
      <c r="M20" s="16">
        <f t="shared" si="3"/>
        <v>1755</v>
      </c>
      <c r="N20" s="17">
        <f t="shared" si="4"/>
        <v>660</v>
      </c>
      <c r="O20" s="18">
        <v>8</v>
      </c>
      <c r="P20" s="18">
        <v>0.18</v>
      </c>
      <c r="Q20" s="18">
        <f t="shared" ref="Q20:Q33" si="6">Q19+2</f>
        <v>4</v>
      </c>
      <c r="R20" s="19">
        <v>840</v>
      </c>
      <c r="S20" s="18">
        <v>7</v>
      </c>
      <c r="T20" s="18">
        <v>0.23</v>
      </c>
      <c r="U20" s="18">
        <v>14</v>
      </c>
      <c r="V20" s="19">
        <v>980</v>
      </c>
      <c r="W20" s="18">
        <v>5</v>
      </c>
      <c r="X20" s="18">
        <v>0.16</v>
      </c>
      <c r="Y20" s="20">
        <v>28</v>
      </c>
      <c r="Z20" s="21" t="s">
        <v>11</v>
      </c>
      <c r="AA20" s="22">
        <v>1</v>
      </c>
    </row>
    <row r="21" spans="1:27" x14ac:dyDescent="0.3">
      <c r="A21" s="12">
        <v>19</v>
      </c>
      <c r="B21" s="13" t="s">
        <v>66</v>
      </c>
      <c r="C21" s="14">
        <v>10011</v>
      </c>
      <c r="D21" s="15">
        <f t="shared" si="0"/>
        <v>36099.288505366276</v>
      </c>
      <c r="E21" s="16">
        <v>128</v>
      </c>
      <c r="F21" s="16">
        <v>8</v>
      </c>
      <c r="G21" s="15">
        <f t="shared" si="1"/>
        <v>794.4286369164364</v>
      </c>
      <c r="H21" s="16">
        <v>68</v>
      </c>
      <c r="I21" s="16">
        <v>12</v>
      </c>
      <c r="J21" s="16">
        <f t="shared" si="2"/>
        <v>2820</v>
      </c>
      <c r="K21" s="16">
        <v>24</v>
      </c>
      <c r="L21" s="16">
        <v>9</v>
      </c>
      <c r="M21" s="16">
        <f t="shared" si="3"/>
        <v>1770</v>
      </c>
      <c r="N21" s="17">
        <f t="shared" si="4"/>
        <v>640</v>
      </c>
      <c r="O21" s="18">
        <v>4</v>
      </c>
      <c r="P21" s="18">
        <v>0.19</v>
      </c>
      <c r="Q21" s="18">
        <f t="shared" si="6"/>
        <v>6</v>
      </c>
      <c r="R21" s="19">
        <v>840</v>
      </c>
      <c r="S21" s="18">
        <v>7</v>
      </c>
      <c r="T21" s="18">
        <v>0.23</v>
      </c>
      <c r="U21" s="18">
        <v>14</v>
      </c>
      <c r="V21" s="19">
        <v>960</v>
      </c>
      <c r="W21" s="18">
        <v>6</v>
      </c>
      <c r="X21" s="18">
        <v>0.17</v>
      </c>
      <c r="Y21" s="20">
        <v>26</v>
      </c>
      <c r="Z21" s="21" t="s">
        <v>42</v>
      </c>
      <c r="AA21" s="22">
        <v>50</v>
      </c>
    </row>
    <row r="22" spans="1:27" x14ac:dyDescent="0.3">
      <c r="A22" s="12">
        <v>20</v>
      </c>
      <c r="B22" s="13" t="s">
        <v>67</v>
      </c>
      <c r="C22" s="14">
        <v>10100</v>
      </c>
      <c r="D22" s="15">
        <f t="shared" si="0"/>
        <v>37904.25293063459</v>
      </c>
      <c r="E22" s="16">
        <v>256</v>
      </c>
      <c r="F22" s="16">
        <v>9</v>
      </c>
      <c r="G22" s="15">
        <f t="shared" si="1"/>
        <v>754.70720507061458</v>
      </c>
      <c r="H22" s="16">
        <v>98</v>
      </c>
      <c r="I22" s="16">
        <v>11</v>
      </c>
      <c r="J22" s="16">
        <f t="shared" si="2"/>
        <v>2810</v>
      </c>
      <c r="K22" s="16">
        <v>24</v>
      </c>
      <c r="L22" s="16">
        <v>8</v>
      </c>
      <c r="M22" s="16">
        <f t="shared" si="3"/>
        <v>1785</v>
      </c>
      <c r="N22" s="17">
        <f t="shared" si="4"/>
        <v>620</v>
      </c>
      <c r="O22" s="18">
        <v>5</v>
      </c>
      <c r="P22" s="18">
        <v>0.2</v>
      </c>
      <c r="Q22" s="18">
        <f t="shared" si="6"/>
        <v>8</v>
      </c>
      <c r="R22" s="19">
        <v>820</v>
      </c>
      <c r="S22" s="18">
        <v>8</v>
      </c>
      <c r="T22" s="18">
        <v>0.24</v>
      </c>
      <c r="U22" s="18">
        <v>12</v>
      </c>
      <c r="V22" s="19">
        <v>940</v>
      </c>
      <c r="W22" s="18">
        <v>7</v>
      </c>
      <c r="X22" s="18">
        <v>0.18</v>
      </c>
      <c r="Y22" s="20">
        <v>24</v>
      </c>
      <c r="Z22" s="21" t="s">
        <v>13</v>
      </c>
      <c r="AA22" s="22">
        <v>2</v>
      </c>
    </row>
    <row r="23" spans="1:27" x14ac:dyDescent="0.3">
      <c r="A23" s="12">
        <v>21</v>
      </c>
      <c r="B23" s="13" t="s">
        <v>68</v>
      </c>
      <c r="C23" s="14">
        <v>10101</v>
      </c>
      <c r="D23" s="15">
        <f t="shared" si="0"/>
        <v>39799.465577166324</v>
      </c>
      <c r="E23" s="16">
        <v>48</v>
      </c>
      <c r="F23" s="16">
        <v>10</v>
      </c>
      <c r="G23" s="15">
        <f t="shared" si="1"/>
        <v>716.97184481708382</v>
      </c>
      <c r="H23" s="16">
        <v>24</v>
      </c>
      <c r="I23" s="16">
        <v>10</v>
      </c>
      <c r="J23" s="16">
        <f t="shared" si="2"/>
        <v>2800</v>
      </c>
      <c r="K23" s="16">
        <v>26</v>
      </c>
      <c r="L23" s="16">
        <v>7</v>
      </c>
      <c r="M23" s="16">
        <f t="shared" si="3"/>
        <v>1800</v>
      </c>
      <c r="N23" s="17">
        <f t="shared" si="4"/>
        <v>600</v>
      </c>
      <c r="O23" s="18">
        <v>6</v>
      </c>
      <c r="P23" s="18">
        <v>0.21</v>
      </c>
      <c r="Q23" s="18">
        <f t="shared" si="6"/>
        <v>10</v>
      </c>
      <c r="R23" s="19">
        <v>800</v>
      </c>
      <c r="S23" s="18">
        <v>6</v>
      </c>
      <c r="T23" s="18">
        <v>0.25</v>
      </c>
      <c r="U23" s="18">
        <v>10</v>
      </c>
      <c r="V23" s="19">
        <v>920</v>
      </c>
      <c r="W23" s="18">
        <v>8</v>
      </c>
      <c r="X23" s="18">
        <v>0.19</v>
      </c>
      <c r="Y23" s="20">
        <v>22</v>
      </c>
      <c r="Z23" s="21" t="s">
        <v>14</v>
      </c>
      <c r="AA23" s="22">
        <v>1</v>
      </c>
    </row>
    <row r="24" spans="1:27" x14ac:dyDescent="0.3">
      <c r="A24" s="12">
        <v>22</v>
      </c>
      <c r="B24" s="13" t="s">
        <v>69</v>
      </c>
      <c r="C24" s="14">
        <v>10110</v>
      </c>
      <c r="D24" s="15">
        <f t="shared" si="0"/>
        <v>41789.438856024644</v>
      </c>
      <c r="E24" s="16">
        <v>54</v>
      </c>
      <c r="F24" s="16">
        <v>7</v>
      </c>
      <c r="G24" s="15">
        <f t="shared" si="1"/>
        <v>681.12325257622956</v>
      </c>
      <c r="H24" s="16">
        <v>26</v>
      </c>
      <c r="I24" s="16">
        <v>9</v>
      </c>
      <c r="J24" s="16">
        <f t="shared" si="2"/>
        <v>2790</v>
      </c>
      <c r="K24" s="16">
        <v>62</v>
      </c>
      <c r="L24" s="16">
        <v>7</v>
      </c>
      <c r="M24" s="16">
        <f t="shared" si="3"/>
        <v>1815</v>
      </c>
      <c r="N24" s="17">
        <f t="shared" si="4"/>
        <v>580</v>
      </c>
      <c r="O24" s="18">
        <v>7</v>
      </c>
      <c r="P24" s="18">
        <v>0.22</v>
      </c>
      <c r="Q24" s="18">
        <f t="shared" si="6"/>
        <v>12</v>
      </c>
      <c r="R24" s="19">
        <v>780</v>
      </c>
      <c r="S24" s="18">
        <v>7</v>
      </c>
      <c r="T24" s="18">
        <v>0.26</v>
      </c>
      <c r="U24" s="18">
        <v>8</v>
      </c>
      <c r="V24" s="19">
        <v>900</v>
      </c>
      <c r="W24" s="18">
        <v>4</v>
      </c>
      <c r="X24" s="18">
        <v>0.2</v>
      </c>
      <c r="Y24" s="20">
        <v>20</v>
      </c>
      <c r="Z24" s="21" t="s">
        <v>49</v>
      </c>
      <c r="AA24" s="22">
        <v>50</v>
      </c>
    </row>
    <row r="25" spans="1:27" x14ac:dyDescent="0.3">
      <c r="A25" s="12">
        <v>23</v>
      </c>
      <c r="B25" s="13" t="s">
        <v>70</v>
      </c>
      <c r="C25" s="14">
        <v>10111</v>
      </c>
      <c r="D25" s="15">
        <f t="shared" si="0"/>
        <v>43878.910798825877</v>
      </c>
      <c r="E25" s="16">
        <v>64</v>
      </c>
      <c r="F25" s="16">
        <v>6</v>
      </c>
      <c r="G25" s="15">
        <f t="shared" si="1"/>
        <v>647.06708994741803</v>
      </c>
      <c r="H25" s="16">
        <v>52</v>
      </c>
      <c r="I25" s="16">
        <v>8</v>
      </c>
      <c r="J25" s="16">
        <f t="shared" si="2"/>
        <v>2780</v>
      </c>
      <c r="K25" s="16">
        <v>64</v>
      </c>
      <c r="L25" s="16">
        <v>5</v>
      </c>
      <c r="M25" s="16">
        <f t="shared" si="3"/>
        <v>1830</v>
      </c>
      <c r="N25" s="17">
        <f t="shared" si="4"/>
        <v>560</v>
      </c>
      <c r="O25" s="18">
        <v>8</v>
      </c>
      <c r="P25" s="18">
        <v>0.23</v>
      </c>
      <c r="Q25" s="18">
        <f t="shared" si="6"/>
        <v>14</v>
      </c>
      <c r="R25" s="19">
        <v>760</v>
      </c>
      <c r="S25" s="18">
        <v>8</v>
      </c>
      <c r="T25" s="18">
        <v>0.27</v>
      </c>
      <c r="U25" s="18">
        <v>6</v>
      </c>
      <c r="V25" s="19">
        <v>1000</v>
      </c>
      <c r="W25" s="18">
        <v>4</v>
      </c>
      <c r="X25" s="18">
        <v>0.15</v>
      </c>
      <c r="Y25" s="20">
        <v>30</v>
      </c>
      <c r="Z25" s="23" t="s">
        <v>20</v>
      </c>
      <c r="AA25" s="24">
        <v>10</v>
      </c>
    </row>
    <row r="26" spans="1:27" x14ac:dyDescent="0.3">
      <c r="A26" s="12">
        <v>24</v>
      </c>
      <c r="B26" s="13" t="s">
        <v>71</v>
      </c>
      <c r="C26" s="14">
        <v>11000</v>
      </c>
      <c r="D26" s="15">
        <f t="shared" si="0"/>
        <v>46072.856338767175</v>
      </c>
      <c r="E26" s="16">
        <v>68</v>
      </c>
      <c r="F26" s="16">
        <v>6</v>
      </c>
      <c r="G26" s="15">
        <f t="shared" si="1"/>
        <v>614.71373545004712</v>
      </c>
      <c r="H26" s="16">
        <v>62</v>
      </c>
      <c r="I26" s="16">
        <v>7</v>
      </c>
      <c r="J26" s="16">
        <f t="shared" si="2"/>
        <v>2770</v>
      </c>
      <c r="K26" s="16">
        <v>128</v>
      </c>
      <c r="L26" s="16">
        <v>7</v>
      </c>
      <c r="M26" s="16">
        <f t="shared" si="3"/>
        <v>1845</v>
      </c>
      <c r="N26" s="17">
        <f t="shared" si="4"/>
        <v>540</v>
      </c>
      <c r="O26" s="18">
        <v>6</v>
      </c>
      <c r="P26" s="18">
        <v>0.24</v>
      </c>
      <c r="Q26" s="18">
        <f t="shared" si="6"/>
        <v>16</v>
      </c>
      <c r="R26" s="19">
        <v>740</v>
      </c>
      <c r="S26" s="18">
        <v>4</v>
      </c>
      <c r="T26" s="18">
        <v>0.28000000000000003</v>
      </c>
      <c r="U26" s="18">
        <v>4</v>
      </c>
      <c r="V26" s="19">
        <v>980</v>
      </c>
      <c r="W26" s="18">
        <v>5</v>
      </c>
      <c r="X26" s="18">
        <v>0.16</v>
      </c>
      <c r="Y26" s="20">
        <v>28</v>
      </c>
      <c r="Z26" s="23" t="s">
        <v>21</v>
      </c>
      <c r="AA26" s="24">
        <v>1</v>
      </c>
    </row>
    <row r="27" spans="1:27" x14ac:dyDescent="0.3">
      <c r="A27" s="12">
        <v>25</v>
      </c>
      <c r="B27" s="13" t="s">
        <v>72</v>
      </c>
      <c r="C27" s="14">
        <v>11001</v>
      </c>
      <c r="D27" s="15">
        <f t="shared" si="0"/>
        <v>48376.499155705533</v>
      </c>
      <c r="E27" s="16">
        <v>68</v>
      </c>
      <c r="F27" s="16">
        <v>7</v>
      </c>
      <c r="G27" s="15">
        <f t="shared" si="1"/>
        <v>583.97804867754473</v>
      </c>
      <c r="H27" s="16">
        <v>64</v>
      </c>
      <c r="I27" s="16">
        <v>6</v>
      </c>
      <c r="J27" s="16">
        <f t="shared" si="2"/>
        <v>2760</v>
      </c>
      <c r="K27" s="16">
        <v>256</v>
      </c>
      <c r="L27" s="16">
        <v>12</v>
      </c>
      <c r="M27" s="16">
        <f t="shared" si="3"/>
        <v>1860</v>
      </c>
      <c r="N27" s="17">
        <f t="shared" si="4"/>
        <v>520</v>
      </c>
      <c r="O27" s="18">
        <v>7</v>
      </c>
      <c r="P27" s="18">
        <v>0.25</v>
      </c>
      <c r="Q27" s="18">
        <f t="shared" si="6"/>
        <v>18</v>
      </c>
      <c r="R27" s="19">
        <v>720</v>
      </c>
      <c r="S27" s="18">
        <v>5</v>
      </c>
      <c r="T27" s="18">
        <v>0.15</v>
      </c>
      <c r="U27" s="18">
        <v>2</v>
      </c>
      <c r="V27" s="19">
        <v>960</v>
      </c>
      <c r="W27" s="18">
        <v>6</v>
      </c>
      <c r="X27" s="18">
        <v>0.17</v>
      </c>
      <c r="Y27" s="20">
        <v>26</v>
      </c>
      <c r="Z27" s="23" t="s">
        <v>22</v>
      </c>
      <c r="AA27" s="24">
        <v>0.01</v>
      </c>
    </row>
    <row r="28" spans="1:27" x14ac:dyDescent="0.3">
      <c r="A28" s="12">
        <v>26</v>
      </c>
      <c r="B28" s="13" t="s">
        <v>73</v>
      </c>
      <c r="C28" s="14">
        <v>11010</v>
      </c>
      <c r="D28" s="15">
        <f t="shared" si="0"/>
        <v>50795.324113490809</v>
      </c>
      <c r="E28" s="16">
        <v>98</v>
      </c>
      <c r="F28" s="16">
        <v>8</v>
      </c>
      <c r="G28" s="15">
        <f t="shared" si="1"/>
        <v>554.77914624366747</v>
      </c>
      <c r="H28" s="16">
        <v>96</v>
      </c>
      <c r="I28" s="16">
        <v>5</v>
      </c>
      <c r="J28" s="16">
        <f t="shared" si="2"/>
        <v>2750</v>
      </c>
      <c r="K28" s="16">
        <v>48</v>
      </c>
      <c r="L28" s="16">
        <v>11</v>
      </c>
      <c r="M28" s="16">
        <f t="shared" si="3"/>
        <v>1875</v>
      </c>
      <c r="N28" s="17">
        <f t="shared" si="4"/>
        <v>500</v>
      </c>
      <c r="O28" s="18">
        <v>8</v>
      </c>
      <c r="P28" s="18">
        <v>0.26</v>
      </c>
      <c r="Q28" s="18">
        <f t="shared" si="6"/>
        <v>20</v>
      </c>
      <c r="R28" s="19">
        <v>700</v>
      </c>
      <c r="S28" s="18">
        <v>6</v>
      </c>
      <c r="T28" s="18">
        <v>0.16</v>
      </c>
      <c r="U28" s="18">
        <v>0</v>
      </c>
      <c r="V28" s="19">
        <v>940</v>
      </c>
      <c r="W28" s="18">
        <v>7</v>
      </c>
      <c r="X28" s="18">
        <v>0.18</v>
      </c>
      <c r="Y28" s="20">
        <v>24</v>
      </c>
      <c r="Z28" s="23" t="s">
        <v>23</v>
      </c>
      <c r="AA28" s="24">
        <v>5</v>
      </c>
    </row>
    <row r="29" spans="1:27" x14ac:dyDescent="0.3">
      <c r="A29" s="12">
        <v>27</v>
      </c>
      <c r="B29" s="13" t="s">
        <v>74</v>
      </c>
      <c r="C29" s="14">
        <v>11011</v>
      </c>
      <c r="D29" s="15">
        <f t="shared" si="0"/>
        <v>53335.090319165349</v>
      </c>
      <c r="E29" s="16">
        <v>24</v>
      </c>
      <c r="F29" s="16">
        <v>9</v>
      </c>
      <c r="G29" s="15">
        <f t="shared" si="1"/>
        <v>527.04018893148407</v>
      </c>
      <c r="H29" s="16">
        <v>128</v>
      </c>
      <c r="I29" s="16">
        <v>7</v>
      </c>
      <c r="J29" s="16">
        <f t="shared" si="2"/>
        <v>2740</v>
      </c>
      <c r="K29" s="16">
        <v>54</v>
      </c>
      <c r="L29" s="16">
        <v>10</v>
      </c>
      <c r="M29" s="16">
        <f t="shared" si="3"/>
        <v>1890</v>
      </c>
      <c r="N29" s="17">
        <f t="shared" si="4"/>
        <v>480</v>
      </c>
      <c r="O29" s="18">
        <v>4</v>
      </c>
      <c r="P29" s="18">
        <v>0.27</v>
      </c>
      <c r="Q29" s="18">
        <f t="shared" si="6"/>
        <v>22</v>
      </c>
      <c r="R29" s="19">
        <v>680</v>
      </c>
      <c r="S29" s="18">
        <v>7</v>
      </c>
      <c r="T29" s="18">
        <v>0.17</v>
      </c>
      <c r="U29" s="18">
        <v>2</v>
      </c>
      <c r="V29" s="19">
        <v>920</v>
      </c>
      <c r="W29" s="18">
        <v>8</v>
      </c>
      <c r="X29" s="18">
        <v>0.19</v>
      </c>
      <c r="Y29" s="20">
        <v>22</v>
      </c>
      <c r="Z29" s="21" t="s">
        <v>6</v>
      </c>
      <c r="AA29" s="22">
        <v>2000</v>
      </c>
    </row>
    <row r="30" spans="1:27" x14ac:dyDescent="0.3">
      <c r="A30" s="12">
        <v>28</v>
      </c>
      <c r="B30" s="13" t="s">
        <v>75</v>
      </c>
      <c r="C30" s="14">
        <v>11100</v>
      </c>
      <c r="D30" s="15">
        <f t="shared" si="0"/>
        <v>56001.844835123622</v>
      </c>
      <c r="E30" s="16">
        <v>64</v>
      </c>
      <c r="F30" s="16">
        <v>10</v>
      </c>
      <c r="G30" s="15">
        <f t="shared" si="1"/>
        <v>500.68817948490982</v>
      </c>
      <c r="H30" s="16">
        <v>98</v>
      </c>
      <c r="I30" s="16">
        <v>10</v>
      </c>
      <c r="J30" s="16">
        <f t="shared" si="2"/>
        <v>2730</v>
      </c>
      <c r="K30" s="16">
        <v>64</v>
      </c>
      <c r="L30" s="16">
        <v>9</v>
      </c>
      <c r="M30" s="16">
        <f t="shared" si="3"/>
        <v>1905</v>
      </c>
      <c r="N30" s="17">
        <f t="shared" si="4"/>
        <v>460</v>
      </c>
      <c r="O30" s="18">
        <v>5</v>
      </c>
      <c r="P30" s="18">
        <v>0.28000000000000003</v>
      </c>
      <c r="Q30" s="18">
        <f t="shared" si="6"/>
        <v>24</v>
      </c>
      <c r="R30" s="19">
        <v>660</v>
      </c>
      <c r="S30" s="18">
        <v>8</v>
      </c>
      <c r="T30" s="18">
        <v>0.18</v>
      </c>
      <c r="U30" s="18">
        <v>4</v>
      </c>
      <c r="V30" s="19">
        <v>900</v>
      </c>
      <c r="W30" s="18">
        <v>4</v>
      </c>
      <c r="X30" s="18">
        <v>0.2</v>
      </c>
      <c r="Y30" s="20">
        <v>20</v>
      </c>
      <c r="Z30" s="21" t="s">
        <v>6</v>
      </c>
      <c r="AA30" s="22">
        <v>2000</v>
      </c>
    </row>
    <row r="31" spans="1:27" x14ac:dyDescent="0.3">
      <c r="A31" s="12">
        <v>29</v>
      </c>
      <c r="B31" s="13" t="s">
        <v>76</v>
      </c>
      <c r="C31" s="14">
        <v>11101</v>
      </c>
      <c r="D31" s="15">
        <f t="shared" si="0"/>
        <v>58801.937076879803</v>
      </c>
      <c r="E31" s="16">
        <v>68</v>
      </c>
      <c r="F31" s="16">
        <v>11</v>
      </c>
      <c r="G31" s="15">
        <f t="shared" si="1"/>
        <v>475.65377051066429</v>
      </c>
      <c r="H31" s="16">
        <v>24</v>
      </c>
      <c r="I31" s="16">
        <v>9</v>
      </c>
      <c r="J31" s="16">
        <f t="shared" si="2"/>
        <v>2720</v>
      </c>
      <c r="K31" s="16">
        <v>68</v>
      </c>
      <c r="L31" s="16">
        <v>8</v>
      </c>
      <c r="M31" s="16">
        <f t="shared" si="3"/>
        <v>1920</v>
      </c>
      <c r="N31" s="17">
        <f t="shared" si="4"/>
        <v>440</v>
      </c>
      <c r="O31" s="18">
        <v>6</v>
      </c>
      <c r="P31" s="18">
        <v>0.19</v>
      </c>
      <c r="Q31" s="18">
        <f t="shared" si="6"/>
        <v>26</v>
      </c>
      <c r="R31" s="19">
        <v>640</v>
      </c>
      <c r="S31" s="18">
        <v>4</v>
      </c>
      <c r="T31" s="18">
        <v>0.19</v>
      </c>
      <c r="U31" s="18">
        <v>6</v>
      </c>
      <c r="V31" s="19">
        <v>880</v>
      </c>
      <c r="W31" s="18">
        <v>5</v>
      </c>
      <c r="X31" s="18">
        <v>0.21</v>
      </c>
      <c r="Y31" s="20">
        <v>18</v>
      </c>
      <c r="Z31" s="21" t="s">
        <v>6</v>
      </c>
      <c r="AA31" s="22">
        <v>2000</v>
      </c>
    </row>
    <row r="32" spans="1:27" x14ac:dyDescent="0.3">
      <c r="A32" s="12">
        <v>30</v>
      </c>
      <c r="B32" s="13" t="s">
        <v>77</v>
      </c>
      <c r="C32" s="14">
        <v>11110</v>
      </c>
      <c r="D32" s="15">
        <f t="shared" si="0"/>
        <v>61742.033930723795</v>
      </c>
      <c r="E32" s="16">
        <v>98</v>
      </c>
      <c r="F32" s="16">
        <v>12</v>
      </c>
      <c r="G32" s="15">
        <f t="shared" si="1"/>
        <v>451.87108198513107</v>
      </c>
      <c r="H32" s="16">
        <v>26</v>
      </c>
      <c r="I32" s="16">
        <v>8</v>
      </c>
      <c r="J32" s="16">
        <f t="shared" si="2"/>
        <v>2710</v>
      </c>
      <c r="K32" s="16">
        <v>98</v>
      </c>
      <c r="L32" s="16">
        <v>7</v>
      </c>
      <c r="M32" s="16">
        <f t="shared" si="3"/>
        <v>1935</v>
      </c>
      <c r="N32" s="17">
        <f t="shared" si="4"/>
        <v>420</v>
      </c>
      <c r="O32" s="18">
        <v>7</v>
      </c>
      <c r="P32" s="18">
        <v>0.2</v>
      </c>
      <c r="Q32" s="18">
        <f t="shared" si="6"/>
        <v>28</v>
      </c>
      <c r="R32" s="19">
        <v>620</v>
      </c>
      <c r="S32" s="18">
        <v>5</v>
      </c>
      <c r="T32" s="18">
        <v>0.2</v>
      </c>
      <c r="U32" s="18">
        <v>8</v>
      </c>
      <c r="V32" s="19">
        <v>860</v>
      </c>
      <c r="W32" s="18">
        <v>6</v>
      </c>
      <c r="X32" s="18">
        <v>0.22</v>
      </c>
      <c r="Y32" s="20">
        <v>16</v>
      </c>
      <c r="Z32" s="21" t="s">
        <v>6</v>
      </c>
      <c r="AA32" s="22">
        <v>2000</v>
      </c>
    </row>
    <row r="33" spans="1:27" ht="15" thickBot="1" x14ac:dyDescent="0.35">
      <c r="A33" s="25">
        <v>31</v>
      </c>
      <c r="B33" s="26" t="s">
        <v>78</v>
      </c>
      <c r="C33" s="27">
        <v>11111</v>
      </c>
      <c r="D33" s="28">
        <f t="shared" si="0"/>
        <v>64829.135627259988</v>
      </c>
      <c r="E33" s="29">
        <v>24</v>
      </c>
      <c r="F33" s="29">
        <v>13</v>
      </c>
      <c r="G33" s="28">
        <f t="shared" si="1"/>
        <v>429.27752788587452</v>
      </c>
      <c r="H33" s="29">
        <v>62</v>
      </c>
      <c r="I33" s="29">
        <v>7</v>
      </c>
      <c r="J33" s="29">
        <f t="shared" si="2"/>
        <v>2700</v>
      </c>
      <c r="K33" s="29">
        <v>24</v>
      </c>
      <c r="L33" s="29">
        <v>6</v>
      </c>
      <c r="M33" s="29">
        <f t="shared" si="3"/>
        <v>1950</v>
      </c>
      <c r="N33" s="30">
        <f t="shared" si="4"/>
        <v>400</v>
      </c>
      <c r="O33" s="31">
        <v>8</v>
      </c>
      <c r="P33" s="31">
        <v>0.21</v>
      </c>
      <c r="Q33" s="31">
        <f t="shared" si="6"/>
        <v>30</v>
      </c>
      <c r="R33" s="32">
        <v>600</v>
      </c>
      <c r="S33" s="31">
        <v>6</v>
      </c>
      <c r="T33" s="31">
        <v>0.21</v>
      </c>
      <c r="U33" s="31">
        <v>10</v>
      </c>
      <c r="V33" s="32">
        <v>840</v>
      </c>
      <c r="W33" s="31">
        <v>7</v>
      </c>
      <c r="X33" s="31">
        <v>0.23</v>
      </c>
      <c r="Y33" s="33">
        <v>14</v>
      </c>
      <c r="Z33" s="34" t="s">
        <v>6</v>
      </c>
      <c r="AA33" s="34">
        <v>2000</v>
      </c>
    </row>
    <row r="34" spans="1:27" x14ac:dyDescent="0.3">
      <c r="R34"/>
      <c r="V34"/>
    </row>
    <row r="35" spans="1:27" x14ac:dyDescent="0.3">
      <c r="R35"/>
      <c r="V35"/>
    </row>
    <row r="36" spans="1:27" x14ac:dyDescent="0.3">
      <c r="R36"/>
      <c r="V36"/>
    </row>
    <row r="37" spans="1:27" x14ac:dyDescent="0.3">
      <c r="R37"/>
      <c r="V37"/>
    </row>
    <row r="38" spans="1:27" x14ac:dyDescent="0.3">
      <c r="R38"/>
      <c r="V38"/>
    </row>
    <row r="39" spans="1:27" x14ac:dyDescent="0.3">
      <c r="R39"/>
      <c r="V39"/>
    </row>
    <row r="40" spans="1:27" x14ac:dyDescent="0.3">
      <c r="R40"/>
      <c r="V40"/>
    </row>
    <row r="41" spans="1:27" x14ac:dyDescent="0.3">
      <c r="R41"/>
      <c r="V41"/>
    </row>
    <row r="42" spans="1:27" x14ac:dyDescent="0.3">
      <c r="R42"/>
      <c r="V42"/>
    </row>
    <row r="43" spans="1:27" x14ac:dyDescent="0.3">
      <c r="R43"/>
      <c r="V43"/>
    </row>
    <row r="44" spans="1:27" x14ac:dyDescent="0.3">
      <c r="R44"/>
      <c r="V44"/>
    </row>
    <row r="45" spans="1:27" x14ac:dyDescent="0.3">
      <c r="R45"/>
      <c r="V45"/>
    </row>
    <row r="46" spans="1:27" x14ac:dyDescent="0.3">
      <c r="R46"/>
      <c r="V46"/>
    </row>
    <row r="47" spans="1:27" x14ac:dyDescent="0.3">
      <c r="R47"/>
      <c r="V47"/>
    </row>
    <row r="48" spans="1:27" x14ac:dyDescent="0.3">
      <c r="R48"/>
      <c r="V48"/>
    </row>
    <row r="49" spans="4:4" customFormat="1" x14ac:dyDescent="0.3">
      <c r="D49" s="35"/>
    </row>
    <row r="50" spans="4:4" customFormat="1" x14ac:dyDescent="0.3">
      <c r="D50" s="35"/>
    </row>
    <row r="51" spans="4:4" customFormat="1" x14ac:dyDescent="0.3">
      <c r="D51" s="35"/>
    </row>
    <row r="52" spans="4:4" customFormat="1" x14ac:dyDescent="0.3">
      <c r="D52" s="35"/>
    </row>
    <row r="53" spans="4:4" customFormat="1" x14ac:dyDescent="0.3">
      <c r="D53" s="35"/>
    </row>
    <row r="54" spans="4:4" customFormat="1" x14ac:dyDescent="0.3">
      <c r="D54" s="35"/>
    </row>
    <row r="55" spans="4:4" customFormat="1" x14ac:dyDescent="0.3">
      <c r="D55" s="35"/>
    </row>
    <row r="56" spans="4:4" customFormat="1" x14ac:dyDescent="0.3">
      <c r="D56" s="35"/>
    </row>
    <row r="57" spans="4:4" customFormat="1" x14ac:dyDescent="0.3">
      <c r="D57" s="35"/>
    </row>
    <row r="58" spans="4:4" customFormat="1" x14ac:dyDescent="0.3">
      <c r="D58" s="35"/>
    </row>
    <row r="59" spans="4:4" customFormat="1" x14ac:dyDescent="0.3">
      <c r="D59" s="35"/>
    </row>
    <row r="60" spans="4:4" customFormat="1" x14ac:dyDescent="0.3">
      <c r="D60" s="35"/>
    </row>
    <row r="61" spans="4:4" customFormat="1" x14ac:dyDescent="0.3">
      <c r="D61" s="35"/>
    </row>
    <row r="62" spans="4:4" customFormat="1" x14ac:dyDescent="0.3">
      <c r="D62" s="35"/>
    </row>
    <row r="63" spans="4:4" customFormat="1" x14ac:dyDescent="0.3">
      <c r="D63" s="35"/>
    </row>
    <row r="64" spans="4:4" customFormat="1" x14ac:dyDescent="0.3">
      <c r="D64" s="35"/>
    </row>
    <row r="65" spans="4:4" customFormat="1" x14ac:dyDescent="0.3">
      <c r="D65" s="35"/>
    </row>
    <row r="66" spans="4:4" customFormat="1" x14ac:dyDescent="0.3">
      <c r="D66" s="35"/>
    </row>
    <row r="67" spans="4:4" customFormat="1" x14ac:dyDescent="0.3">
      <c r="D67" s="35"/>
    </row>
    <row r="68" spans="4:4" customFormat="1" x14ac:dyDescent="0.3">
      <c r="D68" s="35"/>
    </row>
    <row r="69" spans="4:4" customFormat="1" x14ac:dyDescent="0.3">
      <c r="D69" s="35"/>
    </row>
    <row r="70" spans="4:4" customFormat="1" x14ac:dyDescent="0.3">
      <c r="D70" s="35"/>
    </row>
    <row r="71" spans="4:4" customFormat="1" x14ac:dyDescent="0.3">
      <c r="D71" s="35"/>
    </row>
    <row r="72" spans="4:4" customFormat="1" x14ac:dyDescent="0.3">
      <c r="D72" s="35"/>
    </row>
    <row r="73" spans="4:4" customFormat="1" x14ac:dyDescent="0.3">
      <c r="D73" s="35"/>
    </row>
    <row r="74" spans="4:4" customFormat="1" x14ac:dyDescent="0.3">
      <c r="D74" s="35"/>
    </row>
    <row r="75" spans="4:4" customFormat="1" x14ac:dyDescent="0.3">
      <c r="D75" s="35"/>
    </row>
    <row r="76" spans="4:4" customFormat="1" x14ac:dyDescent="0.3">
      <c r="D76" s="35"/>
    </row>
    <row r="77" spans="4:4" customFormat="1" x14ac:dyDescent="0.3">
      <c r="D77" s="35"/>
    </row>
    <row r="78" spans="4:4" customFormat="1" x14ac:dyDescent="0.3">
      <c r="D78" s="35"/>
    </row>
    <row r="79" spans="4:4" customFormat="1" x14ac:dyDescent="0.3">
      <c r="D79" s="35"/>
    </row>
    <row r="80" spans="4:4" customFormat="1" x14ac:dyDescent="0.3">
      <c r="D80" s="35"/>
    </row>
    <row r="81" spans="4:4" customFormat="1" x14ac:dyDescent="0.3">
      <c r="D81" s="35"/>
    </row>
    <row r="82" spans="4:4" customFormat="1" x14ac:dyDescent="0.3">
      <c r="D82" s="35"/>
    </row>
    <row r="83" spans="4:4" customFormat="1" x14ac:dyDescent="0.3">
      <c r="D83" s="35"/>
    </row>
    <row r="84" spans="4:4" customFormat="1" x14ac:dyDescent="0.3">
      <c r="D84" s="35"/>
    </row>
    <row r="85" spans="4:4" customFormat="1" x14ac:dyDescent="0.3">
      <c r="D85" s="35"/>
    </row>
    <row r="86" spans="4:4" customFormat="1" x14ac:dyDescent="0.3">
      <c r="D86" s="35"/>
    </row>
    <row r="87" spans="4:4" customFormat="1" x14ac:dyDescent="0.3">
      <c r="D87" s="35"/>
    </row>
    <row r="88" spans="4:4" customFormat="1" x14ac:dyDescent="0.3">
      <c r="D88" s="35"/>
    </row>
    <row r="89" spans="4:4" customFormat="1" x14ac:dyDescent="0.3">
      <c r="D89" s="35"/>
    </row>
    <row r="90" spans="4:4" customFormat="1" x14ac:dyDescent="0.3">
      <c r="D90" s="35"/>
    </row>
    <row r="91" spans="4:4" customFormat="1" x14ac:dyDescent="0.3">
      <c r="D91" s="35"/>
    </row>
    <row r="92" spans="4:4" customFormat="1" x14ac:dyDescent="0.3">
      <c r="D92" s="35"/>
    </row>
    <row r="93" spans="4:4" customFormat="1" x14ac:dyDescent="0.3">
      <c r="D93" s="35"/>
    </row>
    <row r="94" spans="4:4" customFormat="1" x14ac:dyDescent="0.3">
      <c r="D94" s="35"/>
    </row>
    <row r="95" spans="4:4" customFormat="1" x14ac:dyDescent="0.3">
      <c r="D95" s="35"/>
    </row>
    <row r="96" spans="4:4" customFormat="1" x14ac:dyDescent="0.3">
      <c r="D96" s="35"/>
    </row>
    <row r="97" spans="4:4" customFormat="1" x14ac:dyDescent="0.3">
      <c r="D97" s="35"/>
    </row>
    <row r="98" spans="4:4" customFormat="1" x14ac:dyDescent="0.3">
      <c r="D98" s="35"/>
    </row>
    <row r="99" spans="4:4" customFormat="1" x14ac:dyDescent="0.3">
      <c r="D99" s="35"/>
    </row>
    <row r="100" spans="4:4" customFormat="1" x14ac:dyDescent="0.3">
      <c r="D100" s="35"/>
    </row>
    <row r="101" spans="4:4" customFormat="1" x14ac:dyDescent="0.3">
      <c r="D101" s="35"/>
    </row>
    <row r="102" spans="4:4" customFormat="1" x14ac:dyDescent="0.3">
      <c r="D102" s="35"/>
    </row>
    <row r="103" spans="4:4" customFormat="1" x14ac:dyDescent="0.3">
      <c r="D103" s="35"/>
    </row>
    <row r="104" spans="4:4" customFormat="1" x14ac:dyDescent="0.3">
      <c r="D104" s="35"/>
    </row>
    <row r="105" spans="4:4" customFormat="1" x14ac:dyDescent="0.3">
      <c r="D105" s="35"/>
    </row>
    <row r="106" spans="4:4" customFormat="1" x14ac:dyDescent="0.3">
      <c r="D106" s="35"/>
    </row>
    <row r="107" spans="4:4" customFormat="1" x14ac:dyDescent="0.3">
      <c r="D107" s="35"/>
    </row>
    <row r="108" spans="4:4" customFormat="1" x14ac:dyDescent="0.3">
      <c r="D108" s="35"/>
    </row>
    <row r="109" spans="4:4" customFormat="1" x14ac:dyDescent="0.3">
      <c r="D109" s="35"/>
    </row>
    <row r="110" spans="4:4" customFormat="1" x14ac:dyDescent="0.3">
      <c r="D110" s="35"/>
    </row>
    <row r="111" spans="4:4" customFormat="1" x14ac:dyDescent="0.3">
      <c r="D111" s="35"/>
    </row>
    <row r="112" spans="4:4" customFormat="1" x14ac:dyDescent="0.3">
      <c r="D112" s="35"/>
    </row>
    <row r="113" spans="4:4" customFormat="1" x14ac:dyDescent="0.3">
      <c r="D113" s="35"/>
    </row>
    <row r="114" spans="4:4" customFormat="1" x14ac:dyDescent="0.3">
      <c r="D114" s="35"/>
    </row>
    <row r="115" spans="4:4" customFormat="1" x14ac:dyDescent="0.3">
      <c r="D115" s="35"/>
    </row>
    <row r="116" spans="4:4" customFormat="1" x14ac:dyDescent="0.3">
      <c r="D116" s="35"/>
    </row>
    <row r="117" spans="4:4" customFormat="1" x14ac:dyDescent="0.3">
      <c r="D117" s="35"/>
    </row>
    <row r="118" spans="4:4" customFormat="1" x14ac:dyDescent="0.3">
      <c r="D118" s="35"/>
    </row>
    <row r="119" spans="4:4" customFormat="1" x14ac:dyDescent="0.3">
      <c r="D119" s="35"/>
    </row>
    <row r="120" spans="4:4" customFormat="1" x14ac:dyDescent="0.3">
      <c r="D120" s="35"/>
    </row>
    <row r="121" spans="4:4" customFormat="1" x14ac:dyDescent="0.3">
      <c r="D121" s="35"/>
    </row>
    <row r="122" spans="4:4" customFormat="1" x14ac:dyDescent="0.3">
      <c r="D122" s="35"/>
    </row>
    <row r="123" spans="4:4" customFormat="1" x14ac:dyDescent="0.3">
      <c r="D123" s="35"/>
    </row>
    <row r="124" spans="4:4" customFormat="1" x14ac:dyDescent="0.3">
      <c r="D124" s="35"/>
    </row>
    <row r="125" spans="4:4" customFormat="1" x14ac:dyDescent="0.3">
      <c r="D125" s="35"/>
    </row>
    <row r="126" spans="4:4" customFormat="1" x14ac:dyDescent="0.3">
      <c r="D126" s="35"/>
    </row>
    <row r="127" spans="4:4" customFormat="1" x14ac:dyDescent="0.3">
      <c r="D127" s="35"/>
    </row>
    <row r="128" spans="4:4" customFormat="1" x14ac:dyDescent="0.3">
      <c r="D128" s="35"/>
    </row>
    <row r="129" spans="4:4" customFormat="1" x14ac:dyDescent="0.3">
      <c r="D129" s="35"/>
    </row>
    <row r="130" spans="4:4" customFormat="1" x14ac:dyDescent="0.3">
      <c r="D130" s="35"/>
    </row>
    <row r="131" spans="4:4" customFormat="1" x14ac:dyDescent="0.3">
      <c r="D131" s="35"/>
    </row>
    <row r="132" spans="4:4" customFormat="1" x14ac:dyDescent="0.3">
      <c r="D132" s="35"/>
    </row>
    <row r="133" spans="4:4" customFormat="1" x14ac:dyDescent="0.3">
      <c r="D133" s="35"/>
    </row>
    <row r="134" spans="4:4" customFormat="1" x14ac:dyDescent="0.3">
      <c r="D134" s="35"/>
    </row>
    <row r="135" spans="4:4" customFormat="1" x14ac:dyDescent="0.3">
      <c r="D135" s="35"/>
    </row>
    <row r="136" spans="4:4" customFormat="1" x14ac:dyDescent="0.3">
      <c r="D136" s="35"/>
    </row>
    <row r="137" spans="4:4" customFormat="1" x14ac:dyDescent="0.3">
      <c r="D137" s="35"/>
    </row>
    <row r="138" spans="4:4" customFormat="1" x14ac:dyDescent="0.3">
      <c r="D138" s="35"/>
    </row>
    <row r="139" spans="4:4" customFormat="1" x14ac:dyDescent="0.3">
      <c r="D139" s="35"/>
    </row>
    <row r="140" spans="4:4" customFormat="1" x14ac:dyDescent="0.3">
      <c r="D140" s="35"/>
    </row>
    <row r="141" spans="4:4" customFormat="1" x14ac:dyDescent="0.3">
      <c r="D141" s="35"/>
    </row>
    <row r="142" spans="4:4" customFormat="1" x14ac:dyDescent="0.3">
      <c r="D142" s="35"/>
    </row>
    <row r="143" spans="4:4" customFormat="1" x14ac:dyDescent="0.3">
      <c r="D143" s="35"/>
    </row>
    <row r="144" spans="4:4" customFormat="1" x14ac:dyDescent="0.3">
      <c r="D144" s="35"/>
    </row>
    <row r="145" spans="4:4" customFormat="1" x14ac:dyDescent="0.3">
      <c r="D145" s="35"/>
    </row>
    <row r="146" spans="4:4" customFormat="1" x14ac:dyDescent="0.3">
      <c r="D146" s="35"/>
    </row>
    <row r="147" spans="4:4" customFormat="1" x14ac:dyDescent="0.3">
      <c r="D147" s="35"/>
    </row>
    <row r="148" spans="4:4" customFormat="1" x14ac:dyDescent="0.3">
      <c r="D148" s="35"/>
    </row>
    <row r="149" spans="4:4" customFormat="1" x14ac:dyDescent="0.3">
      <c r="D149" s="35"/>
    </row>
    <row r="150" spans="4:4" customFormat="1" x14ac:dyDescent="0.3">
      <c r="D150" s="35"/>
    </row>
    <row r="151" spans="4:4" customFormat="1" x14ac:dyDescent="0.3">
      <c r="D151" s="35"/>
    </row>
    <row r="152" spans="4:4" customFormat="1" x14ac:dyDescent="0.3">
      <c r="D152" s="35"/>
    </row>
    <row r="153" spans="4:4" customFormat="1" x14ac:dyDescent="0.3">
      <c r="D153" s="35"/>
    </row>
    <row r="154" spans="4:4" customFormat="1" x14ac:dyDescent="0.3">
      <c r="D154" s="35"/>
    </row>
    <row r="155" spans="4:4" customFormat="1" x14ac:dyDescent="0.3">
      <c r="D155" s="35"/>
    </row>
    <row r="156" spans="4:4" customFormat="1" x14ac:dyDescent="0.3">
      <c r="D156" s="35"/>
    </row>
    <row r="157" spans="4:4" customFormat="1" x14ac:dyDescent="0.3">
      <c r="D157" s="35"/>
    </row>
    <row r="158" spans="4:4" customFormat="1" x14ac:dyDescent="0.3">
      <c r="D158" s="35"/>
    </row>
    <row r="159" spans="4:4" customFormat="1" x14ac:dyDescent="0.3">
      <c r="D159" s="35"/>
    </row>
    <row r="160" spans="4:4" customFormat="1" x14ac:dyDescent="0.3">
      <c r="D160" s="35"/>
    </row>
    <row r="161" spans="4:4" customFormat="1" x14ac:dyDescent="0.3">
      <c r="D161" s="35"/>
    </row>
    <row r="162" spans="4:4" customFormat="1" x14ac:dyDescent="0.3">
      <c r="D162" s="35"/>
    </row>
    <row r="163" spans="4:4" customFormat="1" x14ac:dyDescent="0.3">
      <c r="D163" s="35"/>
    </row>
    <row r="164" spans="4:4" customFormat="1" x14ac:dyDescent="0.3">
      <c r="D164" s="35"/>
    </row>
    <row r="165" spans="4:4" customFormat="1" x14ac:dyDescent="0.3">
      <c r="D165" s="35"/>
    </row>
    <row r="166" spans="4:4" customFormat="1" x14ac:dyDescent="0.3">
      <c r="D166" s="35"/>
    </row>
    <row r="167" spans="4:4" customFormat="1" x14ac:dyDescent="0.3">
      <c r="D167" s="35"/>
    </row>
    <row r="168" spans="4:4" customFormat="1" x14ac:dyDescent="0.3">
      <c r="D168" s="35"/>
    </row>
    <row r="169" spans="4:4" customFormat="1" x14ac:dyDescent="0.3">
      <c r="D169" s="35"/>
    </row>
    <row r="170" spans="4:4" customFormat="1" x14ac:dyDescent="0.3">
      <c r="D170" s="35"/>
    </row>
    <row r="171" spans="4:4" customFormat="1" x14ac:dyDescent="0.3">
      <c r="D171" s="35"/>
    </row>
    <row r="172" spans="4:4" customFormat="1" x14ac:dyDescent="0.3">
      <c r="D172" s="35"/>
    </row>
    <row r="173" spans="4:4" customFormat="1" x14ac:dyDescent="0.3">
      <c r="D173" s="35"/>
    </row>
    <row r="174" spans="4:4" customFormat="1" x14ac:dyDescent="0.3">
      <c r="D174" s="35"/>
    </row>
    <row r="175" spans="4:4" customFormat="1" x14ac:dyDescent="0.3">
      <c r="D175" s="35"/>
    </row>
    <row r="176" spans="4:4" customFormat="1" x14ac:dyDescent="0.3">
      <c r="D176" s="35"/>
    </row>
    <row r="177" spans="4:4" customFormat="1" x14ac:dyDescent="0.3">
      <c r="D177" s="35"/>
    </row>
    <row r="178" spans="4:4" customFormat="1" x14ac:dyDescent="0.3">
      <c r="D178" s="35"/>
    </row>
    <row r="179" spans="4:4" customFormat="1" x14ac:dyDescent="0.3">
      <c r="D179" s="35"/>
    </row>
    <row r="180" spans="4:4" customFormat="1" x14ac:dyDescent="0.3">
      <c r="D180" s="35"/>
    </row>
    <row r="181" spans="4:4" customFormat="1" x14ac:dyDescent="0.3">
      <c r="D181" s="35"/>
    </row>
    <row r="182" spans="4:4" customFormat="1" x14ac:dyDescent="0.3">
      <c r="D182" s="35"/>
    </row>
    <row r="183" spans="4:4" customFormat="1" x14ac:dyDescent="0.3">
      <c r="D183" s="35"/>
    </row>
    <row r="184" spans="4:4" customFormat="1" x14ac:dyDescent="0.3">
      <c r="D184" s="35"/>
    </row>
    <row r="185" spans="4:4" customFormat="1" x14ac:dyDescent="0.3">
      <c r="D185" s="35"/>
    </row>
    <row r="186" spans="4:4" customFormat="1" x14ac:dyDescent="0.3">
      <c r="D186" s="35"/>
    </row>
    <row r="187" spans="4:4" customFormat="1" x14ac:dyDescent="0.3">
      <c r="D187" s="35"/>
    </row>
    <row r="188" spans="4:4" customFormat="1" x14ac:dyDescent="0.3">
      <c r="D188" s="35"/>
    </row>
    <row r="189" spans="4:4" customFormat="1" x14ac:dyDescent="0.3">
      <c r="D189" s="35"/>
    </row>
    <row r="190" spans="4:4" customFormat="1" x14ac:dyDescent="0.3">
      <c r="D190" s="35"/>
    </row>
    <row r="191" spans="4:4" customFormat="1" x14ac:dyDescent="0.3">
      <c r="D191" s="35"/>
    </row>
    <row r="192" spans="4:4" customFormat="1" x14ac:dyDescent="0.3">
      <c r="D192" s="35"/>
    </row>
    <row r="193" spans="4:4" customFormat="1" x14ac:dyDescent="0.3">
      <c r="D193" s="35"/>
    </row>
    <row r="194" spans="4:4" customFormat="1" x14ac:dyDescent="0.3">
      <c r="D194" s="35"/>
    </row>
    <row r="195" spans="4:4" customFormat="1" x14ac:dyDescent="0.3">
      <c r="D195" s="35"/>
    </row>
    <row r="196" spans="4:4" customFormat="1" x14ac:dyDescent="0.3">
      <c r="D196" s="35"/>
    </row>
    <row r="197" spans="4:4" customFormat="1" x14ac:dyDescent="0.3">
      <c r="D197" s="35"/>
    </row>
    <row r="198" spans="4:4" customFormat="1" x14ac:dyDescent="0.3">
      <c r="D198" s="35"/>
    </row>
    <row r="199" spans="4:4" customFormat="1" x14ac:dyDescent="0.3">
      <c r="D199" s="35"/>
    </row>
    <row r="200" spans="4:4" customFormat="1" x14ac:dyDescent="0.3">
      <c r="D200" s="35"/>
    </row>
    <row r="201" spans="4:4" customFormat="1" x14ac:dyDescent="0.3">
      <c r="D201" s="35"/>
    </row>
    <row r="202" spans="4:4" customFormat="1" x14ac:dyDescent="0.3">
      <c r="D202" s="35"/>
    </row>
    <row r="203" spans="4:4" customFormat="1" x14ac:dyDescent="0.3">
      <c r="D203" s="35"/>
    </row>
    <row r="204" spans="4:4" customFormat="1" x14ac:dyDescent="0.3">
      <c r="D204" s="35"/>
    </row>
    <row r="205" spans="4:4" customFormat="1" x14ac:dyDescent="0.3">
      <c r="D205" s="35"/>
    </row>
    <row r="206" spans="4:4" customFormat="1" x14ac:dyDescent="0.3">
      <c r="D206" s="35"/>
    </row>
    <row r="207" spans="4:4" customFormat="1" x14ac:dyDescent="0.3">
      <c r="D207" s="35"/>
    </row>
    <row r="208" spans="4:4" customFormat="1" x14ac:dyDescent="0.3">
      <c r="D208" s="35"/>
    </row>
    <row r="209" spans="4:4" customFormat="1" x14ac:dyDescent="0.3">
      <c r="D209" s="35"/>
    </row>
    <row r="210" spans="4:4" customFormat="1" x14ac:dyDescent="0.3">
      <c r="D210" s="35"/>
    </row>
    <row r="211" spans="4:4" customFormat="1" x14ac:dyDescent="0.3">
      <c r="D211" s="35"/>
    </row>
    <row r="212" spans="4:4" customFormat="1" x14ac:dyDescent="0.3">
      <c r="D212" s="35"/>
    </row>
    <row r="213" spans="4:4" customFormat="1" x14ac:dyDescent="0.3">
      <c r="D213" s="35"/>
    </row>
    <row r="214" spans="4:4" customFormat="1" x14ac:dyDescent="0.3">
      <c r="D214" s="35"/>
    </row>
    <row r="215" spans="4:4" customFormat="1" x14ac:dyDescent="0.3">
      <c r="D215" s="35"/>
    </row>
    <row r="216" spans="4:4" customFormat="1" x14ac:dyDescent="0.3">
      <c r="D216" s="35"/>
    </row>
    <row r="217" spans="4:4" customFormat="1" x14ac:dyDescent="0.3">
      <c r="D217" s="35"/>
    </row>
    <row r="218" spans="4:4" customFormat="1" x14ac:dyDescent="0.3">
      <c r="D218" s="35"/>
    </row>
    <row r="219" spans="4:4" customFormat="1" x14ac:dyDescent="0.3">
      <c r="D219" s="35"/>
    </row>
    <row r="220" spans="4:4" customFormat="1" x14ac:dyDescent="0.3">
      <c r="D220" s="35"/>
    </row>
    <row r="221" spans="4:4" customFormat="1" x14ac:dyDescent="0.3">
      <c r="D221" s="35"/>
    </row>
    <row r="222" spans="4:4" customFormat="1" x14ac:dyDescent="0.3">
      <c r="D222" s="35"/>
    </row>
    <row r="223" spans="4:4" customFormat="1" x14ac:dyDescent="0.3">
      <c r="D223" s="35"/>
    </row>
    <row r="224" spans="4:4" customFormat="1" x14ac:dyDescent="0.3">
      <c r="D224" s="35"/>
    </row>
    <row r="225" spans="4:4" customFormat="1" x14ac:dyDescent="0.3">
      <c r="D225" s="35"/>
    </row>
    <row r="226" spans="4:4" customFormat="1" x14ac:dyDescent="0.3">
      <c r="D226" s="35"/>
    </row>
    <row r="227" spans="4:4" customFormat="1" x14ac:dyDescent="0.3">
      <c r="D227" s="35"/>
    </row>
    <row r="228" spans="4:4" customFormat="1" x14ac:dyDescent="0.3">
      <c r="D228" s="35"/>
    </row>
    <row r="229" spans="4:4" customFormat="1" x14ac:dyDescent="0.3">
      <c r="D229" s="35"/>
    </row>
    <row r="230" spans="4:4" customFormat="1" x14ac:dyDescent="0.3">
      <c r="D230" s="35"/>
    </row>
    <row r="231" spans="4:4" customFormat="1" x14ac:dyDescent="0.3">
      <c r="D231" s="35"/>
    </row>
    <row r="232" spans="4:4" customFormat="1" x14ac:dyDescent="0.3">
      <c r="D232" s="35"/>
    </row>
    <row r="233" spans="4:4" customFormat="1" x14ac:dyDescent="0.3">
      <c r="D233" s="35"/>
    </row>
    <row r="234" spans="4:4" customFormat="1" x14ac:dyDescent="0.3">
      <c r="D234" s="35"/>
    </row>
    <row r="235" spans="4:4" customFormat="1" x14ac:dyDescent="0.3">
      <c r="D235" s="35"/>
    </row>
    <row r="236" spans="4:4" customFormat="1" x14ac:dyDescent="0.3">
      <c r="D236" s="35"/>
    </row>
    <row r="237" spans="4:4" customFormat="1" x14ac:dyDescent="0.3">
      <c r="D237" s="35"/>
    </row>
    <row r="238" spans="4:4" customFormat="1" x14ac:dyDescent="0.3">
      <c r="D238" s="35"/>
    </row>
    <row r="239" spans="4:4" customFormat="1" x14ac:dyDescent="0.3">
      <c r="D239" s="35"/>
    </row>
    <row r="240" spans="4:4" customFormat="1" x14ac:dyDescent="0.3">
      <c r="D240" s="35"/>
    </row>
    <row r="241" spans="4:4" customFormat="1" x14ac:dyDescent="0.3">
      <c r="D241" s="35"/>
    </row>
    <row r="242" spans="4:4" customFormat="1" x14ac:dyDescent="0.3">
      <c r="D242" s="35"/>
    </row>
    <row r="243" spans="4:4" customFormat="1" x14ac:dyDescent="0.3">
      <c r="D243" s="35"/>
    </row>
    <row r="244" spans="4:4" customFormat="1" x14ac:dyDescent="0.3">
      <c r="D244" s="35"/>
    </row>
    <row r="245" spans="4:4" customFormat="1" x14ac:dyDescent="0.3">
      <c r="D245" s="35"/>
    </row>
    <row r="246" spans="4:4" customFormat="1" x14ac:dyDescent="0.3">
      <c r="D246" s="35"/>
    </row>
    <row r="247" spans="4:4" customFormat="1" x14ac:dyDescent="0.3">
      <c r="D247" s="35"/>
    </row>
    <row r="248" spans="4:4" customFormat="1" x14ac:dyDescent="0.3">
      <c r="D248" s="35"/>
    </row>
    <row r="249" spans="4:4" customFormat="1" x14ac:dyDescent="0.3">
      <c r="D249" s="35"/>
    </row>
    <row r="250" spans="4:4" customFormat="1" x14ac:dyDescent="0.3">
      <c r="D250" s="35"/>
    </row>
    <row r="251" spans="4:4" customFormat="1" x14ac:dyDescent="0.3">
      <c r="D251" s="35"/>
    </row>
    <row r="252" spans="4:4" customFormat="1" x14ac:dyDescent="0.3">
      <c r="D252" s="35"/>
    </row>
    <row r="253" spans="4:4" customFormat="1" x14ac:dyDescent="0.3">
      <c r="D253" s="35"/>
    </row>
    <row r="254" spans="4:4" customFormat="1" x14ac:dyDescent="0.3">
      <c r="D254" s="35"/>
    </row>
    <row r="255" spans="4:4" customFormat="1" x14ac:dyDescent="0.3">
      <c r="D255" s="35"/>
    </row>
    <row r="256" spans="4:4" customFormat="1" x14ac:dyDescent="0.3">
      <c r="D256" s="35"/>
    </row>
    <row r="257" spans="4:4" customFormat="1" x14ac:dyDescent="0.3">
      <c r="D257" s="35"/>
    </row>
    <row r="258" spans="4:4" customFormat="1" x14ac:dyDescent="0.3">
      <c r="D258" s="35"/>
    </row>
    <row r="259" spans="4:4" customFormat="1" x14ac:dyDescent="0.3">
      <c r="D259" s="35"/>
    </row>
    <row r="260" spans="4:4" customFormat="1" x14ac:dyDescent="0.3">
      <c r="D260" s="35"/>
    </row>
    <row r="261" spans="4:4" customFormat="1" x14ac:dyDescent="0.3">
      <c r="D261" s="35"/>
    </row>
    <row r="262" spans="4:4" customFormat="1" x14ac:dyDescent="0.3">
      <c r="D262" s="35"/>
    </row>
    <row r="263" spans="4:4" customFormat="1" x14ac:dyDescent="0.3">
      <c r="D263" s="35"/>
    </row>
    <row r="264" spans="4:4" customFormat="1" x14ac:dyDescent="0.3">
      <c r="D264" s="35"/>
    </row>
    <row r="265" spans="4:4" customFormat="1" x14ac:dyDescent="0.3">
      <c r="D265" s="35"/>
    </row>
    <row r="266" spans="4:4" customFormat="1" x14ac:dyDescent="0.3">
      <c r="D266" s="35"/>
    </row>
    <row r="267" spans="4:4" customFormat="1" x14ac:dyDescent="0.3">
      <c r="D267" s="35"/>
    </row>
    <row r="268" spans="4:4" customFormat="1" x14ac:dyDescent="0.3">
      <c r="D268" s="35"/>
    </row>
    <row r="269" spans="4:4" customFormat="1" x14ac:dyDescent="0.3">
      <c r="D269" s="35"/>
    </row>
    <row r="270" spans="4:4" customFormat="1" x14ac:dyDescent="0.3">
      <c r="D270" s="35"/>
    </row>
    <row r="271" spans="4:4" customFormat="1" x14ac:dyDescent="0.3">
      <c r="D271" s="35"/>
    </row>
    <row r="272" spans="4:4" customFormat="1" x14ac:dyDescent="0.3">
      <c r="D272" s="35"/>
    </row>
    <row r="273" spans="4:4" customFormat="1" x14ac:dyDescent="0.3">
      <c r="D273" s="35"/>
    </row>
    <row r="274" spans="4:4" customFormat="1" x14ac:dyDescent="0.3">
      <c r="D274" s="35"/>
    </row>
    <row r="275" spans="4:4" customFormat="1" x14ac:dyDescent="0.3">
      <c r="D275" s="35"/>
    </row>
    <row r="276" spans="4:4" customFormat="1" x14ac:dyDescent="0.3">
      <c r="D276" s="35"/>
    </row>
    <row r="277" spans="4:4" customFormat="1" x14ac:dyDescent="0.3">
      <c r="D277" s="35"/>
    </row>
    <row r="278" spans="4:4" customFormat="1" x14ac:dyDescent="0.3">
      <c r="D278" s="35"/>
    </row>
    <row r="279" spans="4:4" customFormat="1" x14ac:dyDescent="0.3">
      <c r="D279" s="35"/>
    </row>
    <row r="280" spans="4:4" customFormat="1" x14ac:dyDescent="0.3">
      <c r="D280" s="35"/>
    </row>
    <row r="281" spans="4:4" customFormat="1" x14ac:dyDescent="0.3">
      <c r="D281" s="35"/>
    </row>
    <row r="282" spans="4:4" customFormat="1" x14ac:dyDescent="0.3">
      <c r="D282" s="35"/>
    </row>
    <row r="283" spans="4:4" customFormat="1" x14ac:dyDescent="0.3">
      <c r="D283" s="35"/>
    </row>
    <row r="284" spans="4:4" customFormat="1" x14ac:dyDescent="0.3">
      <c r="D284" s="35"/>
    </row>
    <row r="285" spans="4:4" customFormat="1" x14ac:dyDescent="0.3">
      <c r="D285" s="35"/>
    </row>
    <row r="286" spans="4:4" customFormat="1" x14ac:dyDescent="0.3">
      <c r="D286" s="35"/>
    </row>
    <row r="287" spans="4:4" customFormat="1" x14ac:dyDescent="0.3">
      <c r="D287" s="35"/>
    </row>
    <row r="288" spans="4:4" customFormat="1" x14ac:dyDescent="0.3">
      <c r="D288" s="35"/>
    </row>
    <row r="289" spans="4:4" customFormat="1" x14ac:dyDescent="0.3">
      <c r="D289" s="35"/>
    </row>
    <row r="290" spans="4:4" customFormat="1" x14ac:dyDescent="0.3">
      <c r="D290" s="35"/>
    </row>
    <row r="291" spans="4:4" customFormat="1" x14ac:dyDescent="0.3">
      <c r="D291" s="35"/>
    </row>
    <row r="292" spans="4:4" customFormat="1" x14ac:dyDescent="0.3">
      <c r="D292" s="35"/>
    </row>
    <row r="293" spans="4:4" customFormat="1" x14ac:dyDescent="0.3">
      <c r="D293" s="35"/>
    </row>
    <row r="294" spans="4:4" customFormat="1" x14ac:dyDescent="0.3">
      <c r="D294" s="35"/>
    </row>
    <row r="295" spans="4:4" customFormat="1" x14ac:dyDescent="0.3">
      <c r="D295" s="35"/>
    </row>
    <row r="296" spans="4:4" customFormat="1" x14ac:dyDescent="0.3">
      <c r="D296" s="35"/>
    </row>
    <row r="297" spans="4:4" customFormat="1" x14ac:dyDescent="0.3">
      <c r="D297" s="35"/>
    </row>
    <row r="298" spans="4:4" customFormat="1" x14ac:dyDescent="0.3">
      <c r="D298" s="35"/>
    </row>
    <row r="299" spans="4:4" customFormat="1" x14ac:dyDescent="0.3">
      <c r="D299" s="35"/>
    </row>
    <row r="300" spans="4:4" customFormat="1" x14ac:dyDescent="0.3">
      <c r="D300" s="35"/>
    </row>
    <row r="301" spans="4:4" customFormat="1" x14ac:dyDescent="0.3">
      <c r="D301" s="35"/>
    </row>
    <row r="302" spans="4:4" customFormat="1" x14ac:dyDescent="0.3">
      <c r="D302" s="35"/>
    </row>
    <row r="303" spans="4:4" customFormat="1" x14ac:dyDescent="0.3">
      <c r="D303" s="35"/>
    </row>
    <row r="304" spans="4:4" customFormat="1" x14ac:dyDescent="0.3">
      <c r="D304" s="35"/>
    </row>
    <row r="305" spans="4:4" customFormat="1" x14ac:dyDescent="0.3">
      <c r="D305" s="35"/>
    </row>
    <row r="306" spans="4:4" customFormat="1" x14ac:dyDescent="0.3">
      <c r="D306" s="35"/>
    </row>
    <row r="307" spans="4:4" customFormat="1" x14ac:dyDescent="0.3">
      <c r="D307" s="35"/>
    </row>
    <row r="308" spans="4:4" customFormat="1" x14ac:dyDescent="0.3">
      <c r="D308" s="35"/>
    </row>
    <row r="309" spans="4:4" customFormat="1" x14ac:dyDescent="0.3">
      <c r="D309" s="35"/>
    </row>
    <row r="310" spans="4:4" customFormat="1" x14ac:dyDescent="0.3">
      <c r="D310" s="35"/>
    </row>
    <row r="311" spans="4:4" customFormat="1" x14ac:dyDescent="0.3">
      <c r="D311" s="35"/>
    </row>
    <row r="312" spans="4:4" customFormat="1" x14ac:dyDescent="0.3">
      <c r="D312" s="35"/>
    </row>
    <row r="313" spans="4:4" customFormat="1" x14ac:dyDescent="0.3">
      <c r="D313" s="35"/>
    </row>
    <row r="314" spans="4:4" customFormat="1" x14ac:dyDescent="0.3">
      <c r="D314" s="35"/>
    </row>
    <row r="315" spans="4:4" customFormat="1" x14ac:dyDescent="0.3">
      <c r="D315" s="35"/>
    </row>
    <row r="316" spans="4:4" customFormat="1" x14ac:dyDescent="0.3">
      <c r="D316" s="35"/>
    </row>
    <row r="317" spans="4:4" customFormat="1" x14ac:dyDescent="0.3">
      <c r="D317" s="35"/>
    </row>
    <row r="318" spans="4:4" customFormat="1" x14ac:dyDescent="0.3">
      <c r="D318" s="35"/>
    </row>
    <row r="319" spans="4:4" customFormat="1" x14ac:dyDescent="0.3">
      <c r="D319" s="35"/>
    </row>
    <row r="320" spans="4:4" customFormat="1" x14ac:dyDescent="0.3">
      <c r="D320" s="35"/>
    </row>
    <row r="321" spans="4:4" customFormat="1" x14ac:dyDescent="0.3">
      <c r="D321" s="35"/>
    </row>
    <row r="322" spans="4:4" customFormat="1" x14ac:dyDescent="0.3">
      <c r="D322" s="35"/>
    </row>
    <row r="323" spans="4:4" customFormat="1" x14ac:dyDescent="0.3">
      <c r="D323" s="35"/>
    </row>
    <row r="324" spans="4:4" customFormat="1" x14ac:dyDescent="0.3">
      <c r="D324" s="35"/>
    </row>
    <row r="325" spans="4:4" customFormat="1" x14ac:dyDescent="0.3">
      <c r="D325" s="35"/>
    </row>
    <row r="326" spans="4:4" customFormat="1" x14ac:dyDescent="0.3">
      <c r="D326" s="35"/>
    </row>
    <row r="327" spans="4:4" customFormat="1" x14ac:dyDescent="0.3">
      <c r="D327" s="35"/>
    </row>
    <row r="328" spans="4:4" customFormat="1" x14ac:dyDescent="0.3">
      <c r="D328" s="35"/>
    </row>
    <row r="329" spans="4:4" customFormat="1" x14ac:dyDescent="0.3">
      <c r="D329" s="35"/>
    </row>
    <row r="330" spans="4:4" customFormat="1" x14ac:dyDescent="0.3">
      <c r="D330" s="35"/>
    </row>
    <row r="331" spans="4:4" customFormat="1" x14ac:dyDescent="0.3">
      <c r="D331" s="35"/>
    </row>
    <row r="332" spans="4:4" customFormat="1" x14ac:dyDescent="0.3">
      <c r="D332" s="35"/>
    </row>
    <row r="333" spans="4:4" customFormat="1" x14ac:dyDescent="0.3">
      <c r="D333" s="35"/>
    </row>
    <row r="334" spans="4:4" customFormat="1" x14ac:dyDescent="0.3">
      <c r="D334" s="35"/>
    </row>
    <row r="335" spans="4:4" customFormat="1" x14ac:dyDescent="0.3">
      <c r="D335" s="35"/>
    </row>
    <row r="336" spans="4:4" customFormat="1" x14ac:dyDescent="0.3">
      <c r="D336" s="35"/>
    </row>
    <row r="337" spans="4:4" customFormat="1" x14ac:dyDescent="0.3">
      <c r="D337" s="35"/>
    </row>
    <row r="338" spans="4:4" customFormat="1" x14ac:dyDescent="0.3">
      <c r="D338" s="35"/>
    </row>
    <row r="339" spans="4:4" customFormat="1" x14ac:dyDescent="0.3">
      <c r="D339" s="35"/>
    </row>
    <row r="340" spans="4:4" customFormat="1" x14ac:dyDescent="0.3">
      <c r="D340" s="35"/>
    </row>
    <row r="341" spans="4:4" customFormat="1" x14ac:dyDescent="0.3">
      <c r="D341" s="35"/>
    </row>
    <row r="342" spans="4:4" customFormat="1" x14ac:dyDescent="0.3">
      <c r="D342" s="35"/>
    </row>
    <row r="343" spans="4:4" customFormat="1" x14ac:dyDescent="0.3">
      <c r="D343" s="35"/>
    </row>
    <row r="344" spans="4:4" customFormat="1" x14ac:dyDescent="0.3">
      <c r="D344" s="35"/>
    </row>
    <row r="345" spans="4:4" customFormat="1" x14ac:dyDescent="0.3">
      <c r="D345" s="35"/>
    </row>
    <row r="346" spans="4:4" customFormat="1" x14ac:dyDescent="0.3">
      <c r="D346" s="35"/>
    </row>
    <row r="347" spans="4:4" customFormat="1" x14ac:dyDescent="0.3">
      <c r="D347" s="35"/>
    </row>
    <row r="348" spans="4:4" customFormat="1" x14ac:dyDescent="0.3">
      <c r="D348" s="35"/>
    </row>
    <row r="349" spans="4:4" customFormat="1" x14ac:dyDescent="0.3">
      <c r="D349" s="35"/>
    </row>
    <row r="350" spans="4:4" customFormat="1" x14ac:dyDescent="0.3">
      <c r="D350" s="35"/>
    </row>
    <row r="351" spans="4:4" customFormat="1" x14ac:dyDescent="0.3">
      <c r="D351" s="35"/>
    </row>
    <row r="352" spans="4:4" customFormat="1" x14ac:dyDescent="0.3">
      <c r="D352" s="35"/>
    </row>
    <row r="353" spans="4:4" customFormat="1" x14ac:dyDescent="0.3">
      <c r="D353" s="35"/>
    </row>
    <row r="354" spans="4:4" customFormat="1" x14ac:dyDescent="0.3">
      <c r="D354" s="35"/>
    </row>
    <row r="355" spans="4:4" customFormat="1" x14ac:dyDescent="0.3">
      <c r="D355" s="35"/>
    </row>
    <row r="356" spans="4:4" customFormat="1" x14ac:dyDescent="0.3">
      <c r="D356" s="35"/>
    </row>
    <row r="357" spans="4:4" customFormat="1" x14ac:dyDescent="0.3">
      <c r="D357" s="35"/>
    </row>
    <row r="358" spans="4:4" customFormat="1" x14ac:dyDescent="0.3">
      <c r="D358" s="35"/>
    </row>
    <row r="359" spans="4:4" customFormat="1" x14ac:dyDescent="0.3">
      <c r="D359" s="35"/>
    </row>
    <row r="360" spans="4:4" customFormat="1" x14ac:dyDescent="0.3">
      <c r="D360" s="35"/>
    </row>
    <row r="361" spans="4:4" customFormat="1" x14ac:dyDescent="0.3">
      <c r="D361" s="35"/>
    </row>
    <row r="362" spans="4:4" customFormat="1" x14ac:dyDescent="0.3">
      <c r="D362" s="35"/>
    </row>
    <row r="363" spans="4:4" customFormat="1" x14ac:dyDescent="0.3">
      <c r="D363" s="35"/>
    </row>
    <row r="364" spans="4:4" customFormat="1" x14ac:dyDescent="0.3">
      <c r="D364" s="35"/>
    </row>
    <row r="365" spans="4:4" customFormat="1" x14ac:dyDescent="0.3">
      <c r="D365" s="35"/>
    </row>
  </sheetData>
  <mergeCells count="3">
    <mergeCell ref="B1:C1"/>
    <mergeCell ref="D1:M1"/>
    <mergeCell ref="N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EA79-B226-463D-B319-BAE27051898C}">
  <dimension ref="B2:BS40"/>
  <sheetViews>
    <sheetView zoomScale="88" workbookViewId="0">
      <selection activeCell="V29" sqref="V29"/>
    </sheetView>
  </sheetViews>
  <sheetFormatPr defaultRowHeight="14.4" x14ac:dyDescent="0.3"/>
  <cols>
    <col min="1" max="1" width="8.88671875" style="37"/>
    <col min="2" max="2" width="2.21875" style="37" bestFit="1" customWidth="1"/>
    <col min="3" max="14" width="2" style="37" bestFit="1" customWidth="1"/>
    <col min="15" max="15" width="4" style="37" bestFit="1" customWidth="1"/>
    <col min="16" max="22" width="8.88671875" style="37"/>
    <col min="23" max="23" width="8.88671875" style="37" customWidth="1"/>
    <col min="24" max="25" width="8.88671875" style="37"/>
    <col min="26" max="26" width="2.21875" style="37" bestFit="1" customWidth="1"/>
    <col min="27" max="39" width="2" style="37" bestFit="1" customWidth="1"/>
    <col min="40" max="40" width="4" style="37" bestFit="1" customWidth="1"/>
    <col min="41" max="50" width="8.88671875" style="37"/>
    <col min="51" max="51" width="2.21875" style="37" bestFit="1" customWidth="1"/>
    <col min="52" max="62" width="2" style="37" bestFit="1" customWidth="1"/>
    <col min="63" max="63" width="4" style="37" bestFit="1" customWidth="1"/>
    <col min="64" max="16384" width="8.88671875" style="37"/>
  </cols>
  <sheetData>
    <row r="2" spans="2:71" x14ac:dyDescent="0.3">
      <c r="B2" s="37" t="s">
        <v>79</v>
      </c>
      <c r="C2" s="42">
        <v>1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1</v>
      </c>
      <c r="J2" s="42">
        <v>1</v>
      </c>
      <c r="K2" s="42">
        <v>0</v>
      </c>
      <c r="Z2" s="37" t="s">
        <v>79</v>
      </c>
      <c r="AA2" s="42">
        <v>1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1</v>
      </c>
      <c r="AH2" s="42">
        <v>1</v>
      </c>
      <c r="AI2" s="42">
        <v>0</v>
      </c>
      <c r="AY2" s="37" t="s">
        <v>79</v>
      </c>
      <c r="AZ2" s="42">
        <v>1</v>
      </c>
      <c r="BA2" s="42">
        <v>0</v>
      </c>
      <c r="BB2" s="42">
        <v>0</v>
      </c>
      <c r="BC2" s="42">
        <v>0</v>
      </c>
      <c r="BD2" s="42">
        <v>0</v>
      </c>
      <c r="BE2" s="42">
        <v>0</v>
      </c>
      <c r="BF2" s="42">
        <v>1</v>
      </c>
      <c r="BG2" s="42">
        <v>1</v>
      </c>
      <c r="BH2" s="42">
        <v>0</v>
      </c>
      <c r="BM2" s="39" t="s">
        <v>82</v>
      </c>
      <c r="BN2" s="40">
        <v>1.06E-2</v>
      </c>
    </row>
    <row r="3" spans="2:71" x14ac:dyDescent="0.3">
      <c r="C3" s="42">
        <v>0</v>
      </c>
      <c r="D3" s="42">
        <v>1</v>
      </c>
      <c r="E3" s="42">
        <v>0</v>
      </c>
      <c r="F3" s="42">
        <v>0</v>
      </c>
      <c r="G3" s="42">
        <v>1</v>
      </c>
      <c r="H3" s="42">
        <v>1</v>
      </c>
      <c r="I3" s="42">
        <v>0</v>
      </c>
      <c r="J3" s="42">
        <v>0</v>
      </c>
      <c r="K3" s="42">
        <v>1</v>
      </c>
      <c r="AA3" s="42">
        <v>0</v>
      </c>
      <c r="AB3" s="42">
        <v>1</v>
      </c>
      <c r="AC3" s="42">
        <v>0</v>
      </c>
      <c r="AD3" s="42">
        <v>0</v>
      </c>
      <c r="AE3" s="42">
        <v>1</v>
      </c>
      <c r="AF3" s="42">
        <v>1</v>
      </c>
      <c r="AG3" s="42">
        <v>0</v>
      </c>
      <c r="AH3" s="42">
        <v>0</v>
      </c>
      <c r="AI3" s="42">
        <v>1</v>
      </c>
      <c r="AZ3" s="42">
        <v>0</v>
      </c>
      <c r="BA3" s="42">
        <v>1</v>
      </c>
      <c r="BB3" s="42">
        <v>0</v>
      </c>
      <c r="BC3" s="42">
        <v>0</v>
      </c>
      <c r="BD3" s="42">
        <v>1</v>
      </c>
      <c r="BE3" s="42">
        <v>1</v>
      </c>
      <c r="BF3" s="42">
        <v>0</v>
      </c>
      <c r="BG3" s="42">
        <v>0</v>
      </c>
      <c r="BH3" s="42">
        <v>1</v>
      </c>
      <c r="BM3" s="39" t="s">
        <v>83</v>
      </c>
      <c r="BN3" s="40">
        <f>MIN(BK8:BK14)</f>
        <v>3</v>
      </c>
    </row>
    <row r="4" spans="2:71" x14ac:dyDescent="0.3">
      <c r="C4" s="42">
        <v>0</v>
      </c>
      <c r="D4" s="42">
        <v>0</v>
      </c>
      <c r="E4" s="42">
        <v>1</v>
      </c>
      <c r="F4" s="42">
        <v>0</v>
      </c>
      <c r="G4" s="42">
        <v>1</v>
      </c>
      <c r="H4" s="42">
        <v>0</v>
      </c>
      <c r="I4" s="42">
        <v>1</v>
      </c>
      <c r="J4" s="42">
        <v>1</v>
      </c>
      <c r="K4" s="42">
        <v>0</v>
      </c>
      <c r="AA4" s="42">
        <v>0</v>
      </c>
      <c r="AB4" s="42">
        <v>0</v>
      </c>
      <c r="AC4" s="42">
        <v>1</v>
      </c>
      <c r="AD4" s="42">
        <v>0</v>
      </c>
      <c r="AE4" s="42">
        <v>1</v>
      </c>
      <c r="AF4" s="42">
        <v>0</v>
      </c>
      <c r="AG4" s="42">
        <v>1</v>
      </c>
      <c r="AH4" s="42">
        <v>1</v>
      </c>
      <c r="AI4" s="42">
        <v>0</v>
      </c>
      <c r="AZ4" s="42">
        <v>0</v>
      </c>
      <c r="BA4" s="42">
        <v>0</v>
      </c>
      <c r="BB4" s="42">
        <v>1</v>
      </c>
      <c r="BC4" s="42">
        <v>0</v>
      </c>
      <c r="BD4" s="42">
        <v>1</v>
      </c>
      <c r="BE4" s="42">
        <v>0</v>
      </c>
      <c r="BF4" s="42">
        <v>1</v>
      </c>
      <c r="BG4" s="42">
        <v>1</v>
      </c>
      <c r="BH4" s="42">
        <v>0</v>
      </c>
      <c r="BM4" s="39" t="s">
        <v>93</v>
      </c>
      <c r="BN4" s="40">
        <f>BN3-1</f>
        <v>2</v>
      </c>
    </row>
    <row r="5" spans="2:71" x14ac:dyDescent="0.3">
      <c r="C5" s="42">
        <v>0</v>
      </c>
      <c r="D5" s="42">
        <v>0</v>
      </c>
      <c r="E5" s="42">
        <v>0</v>
      </c>
      <c r="F5" s="42">
        <v>1</v>
      </c>
      <c r="G5" s="42">
        <v>1</v>
      </c>
      <c r="H5" s="42">
        <v>1</v>
      </c>
      <c r="I5" s="42">
        <v>0</v>
      </c>
      <c r="J5" s="42">
        <v>1</v>
      </c>
      <c r="K5" s="42">
        <v>1</v>
      </c>
      <c r="Q5" s="39" t="s">
        <v>82</v>
      </c>
      <c r="R5" s="40">
        <v>1.06E-2</v>
      </c>
      <c r="AA5" s="42">
        <v>0</v>
      </c>
      <c r="AB5" s="42">
        <v>0</v>
      </c>
      <c r="AC5" s="42">
        <v>0</v>
      </c>
      <c r="AD5" s="42">
        <v>1</v>
      </c>
      <c r="AE5" s="42">
        <v>1</v>
      </c>
      <c r="AF5" s="42">
        <v>1</v>
      </c>
      <c r="AG5" s="42">
        <v>0</v>
      </c>
      <c r="AH5" s="42">
        <v>1</v>
      </c>
      <c r="AI5" s="42">
        <v>1</v>
      </c>
      <c r="BM5" s="39" t="s">
        <v>94</v>
      </c>
      <c r="BN5" s="40">
        <f>TRUNC(BN4/2)</f>
        <v>1</v>
      </c>
    </row>
    <row r="6" spans="2:71" x14ac:dyDescent="0.3">
      <c r="Q6" s="39" t="s">
        <v>83</v>
      </c>
      <c r="R6" s="40">
        <f>MIN(O9:O23)</f>
        <v>3</v>
      </c>
      <c r="AA6" s="42">
        <v>0</v>
      </c>
      <c r="AB6" s="42">
        <v>0</v>
      </c>
      <c r="AC6" s="42">
        <v>0</v>
      </c>
      <c r="AD6" s="42">
        <v>0</v>
      </c>
      <c r="AE6" s="42">
        <v>1</v>
      </c>
      <c r="AF6" s="42">
        <v>1</v>
      </c>
      <c r="AG6" s="42">
        <v>1</v>
      </c>
      <c r="AH6" s="42">
        <v>0</v>
      </c>
      <c r="AI6" s="42">
        <v>1</v>
      </c>
      <c r="AP6" s="39" t="s">
        <v>82</v>
      </c>
      <c r="AQ6" s="40">
        <v>2.06E-2</v>
      </c>
      <c r="AY6" s="54" t="s">
        <v>80</v>
      </c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37" t="s">
        <v>81</v>
      </c>
      <c r="BM6" s="39" t="s">
        <v>100</v>
      </c>
      <c r="BN6" s="40">
        <f>BS20</f>
        <v>0.99999774143783848</v>
      </c>
    </row>
    <row r="7" spans="2:71" x14ac:dyDescent="0.3">
      <c r="B7" s="54" t="s">
        <v>80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37" t="s">
        <v>81</v>
      </c>
      <c r="Q7" s="39" t="s">
        <v>93</v>
      </c>
      <c r="R7" s="40">
        <f>R6-1</f>
        <v>2</v>
      </c>
      <c r="AP7" s="39" t="s">
        <v>83</v>
      </c>
      <c r="AQ7" s="40">
        <f>MIN(AN10:AN40)</f>
        <v>2</v>
      </c>
      <c r="AY7" s="42">
        <v>0</v>
      </c>
      <c r="AZ7" s="42">
        <v>0</v>
      </c>
      <c r="BA7" s="42">
        <v>0</v>
      </c>
      <c r="BB7" s="43">
        <f>MOD(SUM(AZ$2*$AY7,AZ$3*$AZ7,AZ$4*$BA7),2)</f>
        <v>0</v>
      </c>
      <c r="BC7" s="43">
        <f t="shared" ref="BC7:BJ7" si="0">MOD(SUM(BA$2*$AY7,BA$3*$AZ7,BA$4*$BA7),2)</f>
        <v>0</v>
      </c>
      <c r="BD7" s="43">
        <f t="shared" si="0"/>
        <v>0</v>
      </c>
      <c r="BE7" s="43">
        <f t="shared" si="0"/>
        <v>0</v>
      </c>
      <c r="BF7" s="43">
        <f t="shared" si="0"/>
        <v>0</v>
      </c>
      <c r="BG7" s="43">
        <f t="shared" si="0"/>
        <v>0</v>
      </c>
      <c r="BH7" s="43">
        <f t="shared" si="0"/>
        <v>0</v>
      </c>
      <c r="BI7" s="43">
        <f t="shared" si="0"/>
        <v>0</v>
      </c>
      <c r="BJ7" s="43">
        <f t="shared" si="0"/>
        <v>0</v>
      </c>
      <c r="BK7" s="38">
        <f>SUM(BB7:BJ7)</f>
        <v>0</v>
      </c>
    </row>
    <row r="8" spans="2:71" x14ac:dyDescent="0.3">
      <c r="B8" s="42">
        <v>0</v>
      </c>
      <c r="C8" s="42">
        <v>0</v>
      </c>
      <c r="D8" s="42">
        <v>0</v>
      </c>
      <c r="E8" s="42">
        <v>0</v>
      </c>
      <c r="F8" s="43">
        <f>MOD(SUM(C$2*$B8,C$3*$C8,C$4*$D8,C$5*$E8),2)</f>
        <v>0</v>
      </c>
      <c r="G8" s="43">
        <f t="shared" ref="G8:M8" si="1">MOD(SUM(D$2*$B8,D$3*$C8,D$4*$D8,D$5*$E8),2)</f>
        <v>0</v>
      </c>
      <c r="H8" s="43">
        <f t="shared" si="1"/>
        <v>0</v>
      </c>
      <c r="I8" s="43">
        <f t="shared" si="1"/>
        <v>0</v>
      </c>
      <c r="J8" s="43">
        <f t="shared" si="1"/>
        <v>0</v>
      </c>
      <c r="K8" s="43">
        <f t="shared" si="1"/>
        <v>0</v>
      </c>
      <c r="L8" s="43">
        <f t="shared" si="1"/>
        <v>0</v>
      </c>
      <c r="M8" s="43">
        <f t="shared" si="1"/>
        <v>0</v>
      </c>
      <c r="N8" s="43">
        <f>MOD(SUM(K$2*$B8,K$3*$C8,K$4*$D8,K$5*$E8),2)</f>
        <v>0</v>
      </c>
      <c r="O8" s="38">
        <f>SUM(F8:N8)</f>
        <v>0</v>
      </c>
      <c r="Q8" s="39" t="s">
        <v>94</v>
      </c>
      <c r="R8" s="40">
        <f>TRUNC(R7/2)</f>
        <v>1</v>
      </c>
      <c r="Z8" s="54" t="s">
        <v>80</v>
      </c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37" t="s">
        <v>81</v>
      </c>
      <c r="AP8" s="39" t="s">
        <v>93</v>
      </c>
      <c r="AQ8" s="40">
        <f>AQ7-1</f>
        <v>1</v>
      </c>
      <c r="AY8" s="42">
        <v>0</v>
      </c>
      <c r="AZ8" s="42">
        <v>0</v>
      </c>
      <c r="BA8" s="42">
        <v>1</v>
      </c>
      <c r="BB8" s="43">
        <f t="shared" ref="BB8:BB14" si="2">MOD(SUM(AZ$2*$AY8,AZ$3*$AZ8,AZ$4*$BA8),2)</f>
        <v>0</v>
      </c>
      <c r="BC8" s="43">
        <f t="shared" ref="BC8:BC14" si="3">MOD(SUM(BA$2*$AY8,BA$3*$AZ8,BA$4*$BA8),2)</f>
        <v>0</v>
      </c>
      <c r="BD8" s="43">
        <f t="shared" ref="BD8:BD14" si="4">MOD(SUM(BB$2*$AY8,BB$3*$AZ8,BB$4*$BA8),2)</f>
        <v>1</v>
      </c>
      <c r="BE8" s="43">
        <f t="shared" ref="BE8:BE14" si="5">MOD(SUM(BC$2*$AY8,BC$3*$AZ8,BC$4*$BA8),2)</f>
        <v>0</v>
      </c>
      <c r="BF8" s="43">
        <f t="shared" ref="BF8:BF14" si="6">MOD(SUM(BD$2*$AY8,BD$3*$AZ8,BD$4*$BA8),2)</f>
        <v>1</v>
      </c>
      <c r="BG8" s="43">
        <f t="shared" ref="BG8:BG14" si="7">MOD(SUM(BE$2*$AY8,BE$3*$AZ8,BE$4*$BA8),2)</f>
        <v>0</v>
      </c>
      <c r="BH8" s="43">
        <f t="shared" ref="BH8:BH14" si="8">MOD(SUM(BF$2*$AY8,BF$3*$AZ8,BF$4*$BA8),2)</f>
        <v>1</v>
      </c>
      <c r="BI8" s="43">
        <f t="shared" ref="BI8:BI14" si="9">MOD(SUM(BG$2*$AY8,BG$3*$AZ8,BG$4*$BA8),2)</f>
        <v>1</v>
      </c>
      <c r="BJ8" s="43">
        <f t="shared" ref="BJ8:BJ14" si="10">MOD(SUM(BH$2*$AY8,BH$3*$AZ8,BH$4*$BA8),2)</f>
        <v>0</v>
      </c>
      <c r="BK8" s="38">
        <f>SUM(BB8:BJ8)</f>
        <v>4</v>
      </c>
      <c r="BM8" s="54" t="s">
        <v>90</v>
      </c>
      <c r="BN8" s="54"/>
    </row>
    <row r="9" spans="2:71" x14ac:dyDescent="0.3">
      <c r="B9" s="42">
        <v>0</v>
      </c>
      <c r="C9" s="42">
        <v>0</v>
      </c>
      <c r="D9" s="42">
        <v>0</v>
      </c>
      <c r="E9" s="42">
        <v>1</v>
      </c>
      <c r="F9" s="43">
        <f t="shared" ref="F9:F23" si="11">MOD(SUM(C$2*$B9,C$3*$C9,C$4*$D9,C$5*$E9),2)</f>
        <v>0</v>
      </c>
      <c r="G9" s="43">
        <f t="shared" ref="G9:G23" si="12">MOD(SUM(D$2*$B9,D$3*$C9,D$4*$D9,D$5*$E9),2)</f>
        <v>0</v>
      </c>
      <c r="H9" s="43">
        <f t="shared" ref="H9:H23" si="13">MOD(SUM(E$2*$B9,E$3*$C9,E$4*$D9,E$5*$E9),2)</f>
        <v>0</v>
      </c>
      <c r="I9" s="43">
        <f t="shared" ref="I9:I23" si="14">MOD(SUM(F$2*$B9,F$3*$C9,F$4*$D9,F$5*$E9),2)</f>
        <v>1</v>
      </c>
      <c r="J9" s="43">
        <f t="shared" ref="J9:J23" si="15">MOD(SUM(G$2*$B9,G$3*$C9,G$4*$D9,G$5*$E9),2)</f>
        <v>1</v>
      </c>
      <c r="K9" s="43">
        <f t="shared" ref="K9:K23" si="16">MOD(SUM(H$2*$B9,H$3*$C9,H$4*$D9,H$5*$E9),2)</f>
        <v>1</v>
      </c>
      <c r="L9" s="43">
        <f t="shared" ref="L9:L23" si="17">MOD(SUM(I$2*$B9,I$3*$C9,I$4*$D9,I$5*$E9),2)</f>
        <v>0</v>
      </c>
      <c r="M9" s="43">
        <f t="shared" ref="M9:M23" si="18">MOD(SUM(J$2*$B9,J$3*$C9,J$4*$D9,J$5*$E9),2)</f>
        <v>1</v>
      </c>
      <c r="N9" s="43">
        <f t="shared" ref="N9:N23" si="19">MOD(SUM(K$2*$B9,K$3*$C9,K$4*$D9,K$5*$E9),2)</f>
        <v>1</v>
      </c>
      <c r="O9" s="38">
        <f t="shared" ref="O9:O23" si="20">SUM(F9:N9)</f>
        <v>5</v>
      </c>
      <c r="Q9" s="39" t="s">
        <v>98</v>
      </c>
      <c r="R9" s="40">
        <f>W23</f>
        <v>0.99999661183273525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3">
        <f>MOD(SUM(AA$2*$Z9,AA$3*$AA9,AA$4*$AB9,AA$5*$AC9,AA$6*$AD9),2)</f>
        <v>0</v>
      </c>
      <c r="AF9" s="43">
        <f t="shared" ref="AF9:AM9" si="21">MOD(SUM(AB$2*$Z9,AB$3*$AA9,AB$4*$AB9,AB$5*$AC9,AB$6*$AD9),2)</f>
        <v>0</v>
      </c>
      <c r="AG9" s="43">
        <f t="shared" si="21"/>
        <v>0</v>
      </c>
      <c r="AH9" s="43">
        <f t="shared" si="21"/>
        <v>0</v>
      </c>
      <c r="AI9" s="43">
        <f t="shared" si="21"/>
        <v>0</v>
      </c>
      <c r="AJ9" s="43">
        <f t="shared" si="21"/>
        <v>0</v>
      </c>
      <c r="AK9" s="43">
        <f t="shared" si="21"/>
        <v>0</v>
      </c>
      <c r="AL9" s="43">
        <f t="shared" si="21"/>
        <v>0</v>
      </c>
      <c r="AM9" s="43">
        <f t="shared" si="21"/>
        <v>0</v>
      </c>
      <c r="AN9" s="38">
        <f>SUM(AE9:AM9)</f>
        <v>0</v>
      </c>
      <c r="AP9" s="39" t="s">
        <v>94</v>
      </c>
      <c r="AQ9" s="40">
        <f>TRUNC(AQ8/2)</f>
        <v>0</v>
      </c>
      <c r="AY9" s="42">
        <v>0</v>
      </c>
      <c r="AZ9" s="42">
        <v>1</v>
      </c>
      <c r="BA9" s="42">
        <v>0</v>
      </c>
      <c r="BB9" s="43">
        <f t="shared" si="2"/>
        <v>0</v>
      </c>
      <c r="BC9" s="43">
        <f t="shared" si="3"/>
        <v>1</v>
      </c>
      <c r="BD9" s="43">
        <f t="shared" si="4"/>
        <v>0</v>
      </c>
      <c r="BE9" s="43">
        <f t="shared" si="5"/>
        <v>0</v>
      </c>
      <c r="BF9" s="43">
        <f t="shared" si="6"/>
        <v>1</v>
      </c>
      <c r="BG9" s="43">
        <f t="shared" si="7"/>
        <v>1</v>
      </c>
      <c r="BH9" s="43">
        <f t="shared" si="8"/>
        <v>0</v>
      </c>
      <c r="BI9" s="43">
        <f t="shared" si="9"/>
        <v>0</v>
      </c>
      <c r="BJ9" s="43">
        <f t="shared" si="10"/>
        <v>1</v>
      </c>
      <c r="BK9" s="38">
        <f t="shared" ref="BK9:BK14" si="22">SUM(BB9:BJ9)</f>
        <v>4</v>
      </c>
      <c r="BM9" s="41" t="s">
        <v>85</v>
      </c>
      <c r="BN9" s="41" t="s">
        <v>86</v>
      </c>
      <c r="BP9" s="39" t="s">
        <v>85</v>
      </c>
      <c r="BQ9" s="39" t="s">
        <v>87</v>
      </c>
      <c r="BR9" s="39" t="s">
        <v>88</v>
      </c>
      <c r="BS9" s="39" t="s">
        <v>89</v>
      </c>
    </row>
    <row r="10" spans="2:71" x14ac:dyDescent="0.3">
      <c r="B10" s="42">
        <v>0</v>
      </c>
      <c r="C10" s="42">
        <v>0</v>
      </c>
      <c r="D10" s="42">
        <v>1</v>
      </c>
      <c r="E10" s="42">
        <v>0</v>
      </c>
      <c r="F10" s="43">
        <f t="shared" si="11"/>
        <v>0</v>
      </c>
      <c r="G10" s="43">
        <f t="shared" si="12"/>
        <v>0</v>
      </c>
      <c r="H10" s="43">
        <f t="shared" si="13"/>
        <v>1</v>
      </c>
      <c r="I10" s="43">
        <f t="shared" si="14"/>
        <v>0</v>
      </c>
      <c r="J10" s="43">
        <f t="shared" si="15"/>
        <v>1</v>
      </c>
      <c r="K10" s="43">
        <f t="shared" si="16"/>
        <v>0</v>
      </c>
      <c r="L10" s="43">
        <f t="shared" si="17"/>
        <v>1</v>
      </c>
      <c r="M10" s="43">
        <f t="shared" si="18"/>
        <v>1</v>
      </c>
      <c r="N10" s="43">
        <f t="shared" si="19"/>
        <v>0</v>
      </c>
      <c r="O10" s="38">
        <f t="shared" si="20"/>
        <v>4</v>
      </c>
      <c r="Z10" s="42">
        <v>0</v>
      </c>
      <c r="AA10" s="42">
        <v>0</v>
      </c>
      <c r="AB10" s="42">
        <v>0</v>
      </c>
      <c r="AC10" s="42">
        <v>0</v>
      </c>
      <c r="AD10" s="42">
        <v>1</v>
      </c>
      <c r="AE10" s="43">
        <f t="shared" ref="AE10:AE40" si="23">MOD(SUM(AA$2*$Z10,AA$3*$AA10,AA$4*$AB10,AA$5*$AC10,AA$6*$AD10),2)</f>
        <v>0</v>
      </c>
      <c r="AF10" s="43">
        <f t="shared" ref="AF10:AF40" si="24">MOD(SUM(AB$2*$Z10,AB$3*$AA10,AB$4*$AB10,AB$5*$AC10,AB$6*$AD10),2)</f>
        <v>0</v>
      </c>
      <c r="AG10" s="43">
        <f t="shared" ref="AG10:AG40" si="25">MOD(SUM(AC$2*$Z10,AC$3*$AA10,AC$4*$AB10,AC$5*$AC10,AC$6*$AD10),2)</f>
        <v>0</v>
      </c>
      <c r="AH10" s="43">
        <f t="shared" ref="AH10:AH40" si="26">MOD(SUM(AD$2*$Z10,AD$3*$AA10,AD$4*$AB10,AD$5*$AC10,AD$6*$AD10),2)</f>
        <v>0</v>
      </c>
      <c r="AI10" s="43">
        <f t="shared" ref="AI10:AI40" si="27">MOD(SUM(AE$2*$Z10,AE$3*$AA10,AE$4*$AB10,AE$5*$AC10,AE$6*$AD10),2)</f>
        <v>1</v>
      </c>
      <c r="AJ10" s="43">
        <f t="shared" ref="AJ10:AJ40" si="28">MOD(SUM(AF$2*$Z10,AF$3*$AA10,AF$4*$AB10,AF$5*$AC10,AF$6*$AD10),2)</f>
        <v>1</v>
      </c>
      <c r="AK10" s="43">
        <f t="shared" ref="AK10:AK40" si="29">MOD(SUM(AG$2*$Z10,AG$3*$AA10,AG$4*$AB10,AG$5*$AC10,AG$6*$AD10),2)</f>
        <v>1</v>
      </c>
      <c r="AL10" s="43">
        <f t="shared" ref="AL10:AL40" si="30">MOD(SUM(AH$2*$Z10,AH$3*$AA10,AH$4*$AB10,AH$5*$AC10,AH$6*$AD10),2)</f>
        <v>0</v>
      </c>
      <c r="AM10" s="43">
        <f t="shared" ref="AM10:AM40" si="31">MOD(SUM(AI$2*$Z10,AI$3*$AA10,AI$4*$AB10,AI$5*$AC10,AI$6*$AD10),2)</f>
        <v>1</v>
      </c>
      <c r="AN10" s="38">
        <f>SUM(AE10:AM10)</f>
        <v>4</v>
      </c>
      <c r="AP10" s="39" t="s">
        <v>99</v>
      </c>
      <c r="AQ10" s="40">
        <f>AV24</f>
        <v>0.99921906216195489</v>
      </c>
      <c r="AY10" s="42">
        <v>0</v>
      </c>
      <c r="AZ10" s="42">
        <v>1</v>
      </c>
      <c r="BA10" s="42">
        <v>1</v>
      </c>
      <c r="BB10" s="43">
        <f t="shared" si="2"/>
        <v>0</v>
      </c>
      <c r="BC10" s="43">
        <f t="shared" si="3"/>
        <v>1</v>
      </c>
      <c r="BD10" s="43">
        <f t="shared" si="4"/>
        <v>1</v>
      </c>
      <c r="BE10" s="43">
        <f t="shared" si="5"/>
        <v>0</v>
      </c>
      <c r="BF10" s="43">
        <f t="shared" si="6"/>
        <v>0</v>
      </c>
      <c r="BG10" s="43">
        <f t="shared" si="7"/>
        <v>1</v>
      </c>
      <c r="BH10" s="43">
        <f t="shared" si="8"/>
        <v>1</v>
      </c>
      <c r="BI10" s="43">
        <f t="shared" si="9"/>
        <v>1</v>
      </c>
      <c r="BJ10" s="43">
        <f t="shared" si="10"/>
        <v>1</v>
      </c>
      <c r="BK10" s="38">
        <f t="shared" si="22"/>
        <v>6</v>
      </c>
      <c r="BM10" s="42">
        <v>0</v>
      </c>
      <c r="BN10" s="42">
        <f>COUNTIF($BK$7:$BK$14,BM10)</f>
        <v>1</v>
      </c>
      <c r="BP10" s="40">
        <v>1</v>
      </c>
      <c r="BQ10" s="40">
        <f>$BN$2^BP10</f>
        <v>1.06E-2</v>
      </c>
      <c r="BR10" s="40">
        <f>(1-$BN$2)^(9-BP10)</f>
        <v>0.91828025938340696</v>
      </c>
      <c r="BS10" s="40">
        <f t="shared" ref="BS10:BS18" si="32">BN11*BQ10*BR10</f>
        <v>0</v>
      </c>
    </row>
    <row r="11" spans="2:71" x14ac:dyDescent="0.3">
      <c r="B11" s="42">
        <v>0</v>
      </c>
      <c r="C11" s="42">
        <v>0</v>
      </c>
      <c r="D11" s="42">
        <v>1</v>
      </c>
      <c r="E11" s="42">
        <v>1</v>
      </c>
      <c r="F11" s="43">
        <f t="shared" si="11"/>
        <v>0</v>
      </c>
      <c r="G11" s="43">
        <f t="shared" si="12"/>
        <v>0</v>
      </c>
      <c r="H11" s="43">
        <f t="shared" si="13"/>
        <v>1</v>
      </c>
      <c r="I11" s="43">
        <f t="shared" si="14"/>
        <v>1</v>
      </c>
      <c r="J11" s="43">
        <f t="shared" si="15"/>
        <v>0</v>
      </c>
      <c r="K11" s="43">
        <f t="shared" si="16"/>
        <v>1</v>
      </c>
      <c r="L11" s="43">
        <f t="shared" si="17"/>
        <v>1</v>
      </c>
      <c r="M11" s="43">
        <f t="shared" si="18"/>
        <v>0</v>
      </c>
      <c r="N11" s="43">
        <f t="shared" si="19"/>
        <v>1</v>
      </c>
      <c r="O11" s="38">
        <f t="shared" si="20"/>
        <v>5</v>
      </c>
      <c r="Q11" s="54" t="s">
        <v>90</v>
      </c>
      <c r="R11" s="54"/>
      <c r="Z11" s="42">
        <v>0</v>
      </c>
      <c r="AA11" s="42">
        <v>0</v>
      </c>
      <c r="AB11" s="42">
        <v>0</v>
      </c>
      <c r="AC11" s="42">
        <v>1</v>
      </c>
      <c r="AD11" s="42">
        <v>0</v>
      </c>
      <c r="AE11" s="43">
        <f t="shared" si="23"/>
        <v>0</v>
      </c>
      <c r="AF11" s="43">
        <f t="shared" si="24"/>
        <v>0</v>
      </c>
      <c r="AG11" s="43">
        <f t="shared" si="25"/>
        <v>0</v>
      </c>
      <c r="AH11" s="43">
        <f t="shared" si="26"/>
        <v>1</v>
      </c>
      <c r="AI11" s="43">
        <f t="shared" si="27"/>
        <v>1</v>
      </c>
      <c r="AJ11" s="43">
        <f t="shared" si="28"/>
        <v>1</v>
      </c>
      <c r="AK11" s="43">
        <f t="shared" si="29"/>
        <v>0</v>
      </c>
      <c r="AL11" s="43">
        <f t="shared" si="30"/>
        <v>1</v>
      </c>
      <c r="AM11" s="43">
        <f t="shared" si="31"/>
        <v>1</v>
      </c>
      <c r="AN11" s="38">
        <f t="shared" ref="AN11:AN40" si="33">SUM(AE11:AM11)</f>
        <v>5</v>
      </c>
      <c r="AY11" s="42">
        <v>1</v>
      </c>
      <c r="AZ11" s="42">
        <v>0</v>
      </c>
      <c r="BA11" s="42">
        <v>0</v>
      </c>
      <c r="BB11" s="43">
        <f t="shared" si="2"/>
        <v>1</v>
      </c>
      <c r="BC11" s="43">
        <f t="shared" si="3"/>
        <v>0</v>
      </c>
      <c r="BD11" s="43">
        <f t="shared" si="4"/>
        <v>0</v>
      </c>
      <c r="BE11" s="43">
        <f t="shared" si="5"/>
        <v>0</v>
      </c>
      <c r="BF11" s="43">
        <f t="shared" si="6"/>
        <v>0</v>
      </c>
      <c r="BG11" s="43">
        <f t="shared" si="7"/>
        <v>0</v>
      </c>
      <c r="BH11" s="43">
        <f>MOD(SUM(BF$2*$AY11,BF$3*$AZ11,BF$4*$BA11),2)</f>
        <v>1</v>
      </c>
      <c r="BI11" s="43">
        <f t="shared" si="9"/>
        <v>1</v>
      </c>
      <c r="BJ11" s="43">
        <f t="shared" si="10"/>
        <v>0</v>
      </c>
      <c r="BK11" s="38">
        <f t="shared" si="22"/>
        <v>3</v>
      </c>
      <c r="BM11" s="42">
        <v>1</v>
      </c>
      <c r="BN11" s="42">
        <f t="shared" ref="BN11:BN19" si="34">COUNTIF($BK$7:$BK$14,BM11)</f>
        <v>0</v>
      </c>
      <c r="BP11" s="40">
        <v>2</v>
      </c>
      <c r="BQ11" s="40">
        <f t="shared" ref="BQ11:BQ18" si="35">$BN$2^BP11</f>
        <v>1.1236E-4</v>
      </c>
      <c r="BR11" s="40">
        <f t="shared" ref="BR11:BR18" si="36">(1-$BN$2)^(9-BP11)</f>
        <v>0.9281183135065767</v>
      </c>
      <c r="BS11" s="40">
        <f t="shared" si="32"/>
        <v>0</v>
      </c>
    </row>
    <row r="12" spans="2:71" x14ac:dyDescent="0.3">
      <c r="B12" s="42">
        <v>0</v>
      </c>
      <c r="C12" s="42">
        <v>1</v>
      </c>
      <c r="D12" s="42">
        <v>0</v>
      </c>
      <c r="E12" s="42">
        <v>0</v>
      </c>
      <c r="F12" s="43">
        <f t="shared" si="11"/>
        <v>0</v>
      </c>
      <c r="G12" s="43">
        <f t="shared" si="12"/>
        <v>1</v>
      </c>
      <c r="H12" s="43">
        <f t="shared" si="13"/>
        <v>0</v>
      </c>
      <c r="I12" s="43">
        <f t="shared" si="14"/>
        <v>0</v>
      </c>
      <c r="J12" s="43">
        <f t="shared" si="15"/>
        <v>1</v>
      </c>
      <c r="K12" s="43">
        <f t="shared" si="16"/>
        <v>1</v>
      </c>
      <c r="L12" s="43">
        <f t="shared" si="17"/>
        <v>0</v>
      </c>
      <c r="M12" s="43">
        <f t="shared" si="18"/>
        <v>0</v>
      </c>
      <c r="N12" s="43">
        <f t="shared" si="19"/>
        <v>1</v>
      </c>
      <c r="O12" s="38">
        <f t="shared" si="20"/>
        <v>4</v>
      </c>
      <c r="Q12" s="41" t="s">
        <v>85</v>
      </c>
      <c r="R12" s="41" t="s">
        <v>86</v>
      </c>
      <c r="T12" s="39" t="s">
        <v>85</v>
      </c>
      <c r="U12" s="39" t="s">
        <v>87</v>
      </c>
      <c r="V12" s="39" t="s">
        <v>88</v>
      </c>
      <c r="W12" s="39" t="s">
        <v>89</v>
      </c>
      <c r="Z12" s="42">
        <v>0</v>
      </c>
      <c r="AA12" s="42">
        <v>0</v>
      </c>
      <c r="AB12" s="42">
        <v>0</v>
      </c>
      <c r="AC12" s="42">
        <v>1</v>
      </c>
      <c r="AD12" s="42">
        <v>1</v>
      </c>
      <c r="AE12" s="43">
        <f t="shared" si="23"/>
        <v>0</v>
      </c>
      <c r="AF12" s="43">
        <f t="shared" si="24"/>
        <v>0</v>
      </c>
      <c r="AG12" s="43">
        <f t="shared" si="25"/>
        <v>0</v>
      </c>
      <c r="AH12" s="43">
        <f t="shared" si="26"/>
        <v>1</v>
      </c>
      <c r="AI12" s="43">
        <f t="shared" si="27"/>
        <v>0</v>
      </c>
      <c r="AJ12" s="43">
        <f t="shared" si="28"/>
        <v>0</v>
      </c>
      <c r="AK12" s="43">
        <f t="shared" si="29"/>
        <v>1</v>
      </c>
      <c r="AL12" s="43">
        <f t="shared" si="30"/>
        <v>1</v>
      </c>
      <c r="AM12" s="43">
        <f t="shared" si="31"/>
        <v>0</v>
      </c>
      <c r="AN12" s="38">
        <f t="shared" si="33"/>
        <v>3</v>
      </c>
      <c r="AP12" s="54" t="s">
        <v>90</v>
      </c>
      <c r="AQ12" s="54"/>
      <c r="AY12" s="42">
        <v>1</v>
      </c>
      <c r="AZ12" s="42">
        <v>0</v>
      </c>
      <c r="BA12" s="42">
        <v>1</v>
      </c>
      <c r="BB12" s="43">
        <f t="shared" si="2"/>
        <v>1</v>
      </c>
      <c r="BC12" s="43">
        <f t="shared" si="3"/>
        <v>0</v>
      </c>
      <c r="BD12" s="43">
        <f t="shared" si="4"/>
        <v>1</v>
      </c>
      <c r="BE12" s="43">
        <f t="shared" si="5"/>
        <v>0</v>
      </c>
      <c r="BF12" s="43">
        <f t="shared" si="6"/>
        <v>1</v>
      </c>
      <c r="BG12" s="43">
        <f t="shared" si="7"/>
        <v>0</v>
      </c>
      <c r="BH12" s="43">
        <f t="shared" si="8"/>
        <v>0</v>
      </c>
      <c r="BI12" s="43">
        <f t="shared" si="9"/>
        <v>0</v>
      </c>
      <c r="BJ12" s="43">
        <f t="shared" si="10"/>
        <v>0</v>
      </c>
      <c r="BK12" s="38">
        <f t="shared" si="22"/>
        <v>3</v>
      </c>
      <c r="BM12" s="42">
        <v>2</v>
      </c>
      <c r="BN12" s="42">
        <f t="shared" si="34"/>
        <v>0</v>
      </c>
      <c r="BP12" s="40">
        <v>3</v>
      </c>
      <c r="BQ12" s="40">
        <f t="shared" si="35"/>
        <v>1.1910159999999999E-6</v>
      </c>
      <c r="BR12" s="40">
        <f t="shared" si="36"/>
        <v>0.93806176825002696</v>
      </c>
      <c r="BS12" s="40">
        <f t="shared" si="32"/>
        <v>2.2344931499481479E-6</v>
      </c>
    </row>
    <row r="13" spans="2:71" x14ac:dyDescent="0.3">
      <c r="B13" s="42">
        <v>0</v>
      </c>
      <c r="C13" s="42">
        <v>1</v>
      </c>
      <c r="D13" s="42">
        <v>0</v>
      </c>
      <c r="E13" s="42">
        <v>1</v>
      </c>
      <c r="F13" s="43">
        <f t="shared" si="11"/>
        <v>0</v>
      </c>
      <c r="G13" s="43">
        <f t="shared" si="12"/>
        <v>1</v>
      </c>
      <c r="H13" s="43">
        <f t="shared" si="13"/>
        <v>0</v>
      </c>
      <c r="I13" s="43">
        <f t="shared" si="14"/>
        <v>1</v>
      </c>
      <c r="J13" s="43">
        <f t="shared" si="15"/>
        <v>0</v>
      </c>
      <c r="K13" s="43">
        <f t="shared" si="16"/>
        <v>0</v>
      </c>
      <c r="L13" s="43">
        <f t="shared" si="17"/>
        <v>0</v>
      </c>
      <c r="M13" s="43">
        <f t="shared" si="18"/>
        <v>1</v>
      </c>
      <c r="N13" s="43">
        <f t="shared" si="19"/>
        <v>0</v>
      </c>
      <c r="O13" s="38">
        <f t="shared" si="20"/>
        <v>3</v>
      </c>
      <c r="Q13" s="42">
        <v>0</v>
      </c>
      <c r="R13" s="42">
        <f>COUNTIF($O$8:$O$23,Q13)</f>
        <v>1</v>
      </c>
      <c r="T13" s="40">
        <v>1</v>
      </c>
      <c r="U13" s="40">
        <f>$R$5^T13</f>
        <v>1.06E-2</v>
      </c>
      <c r="V13" s="40">
        <f>(1-$R$5)^(9-T13)</f>
        <v>0.91828025938340696</v>
      </c>
      <c r="W13" s="40">
        <f>R14*U13*V13</f>
        <v>0</v>
      </c>
      <c r="Z13" s="42">
        <v>0</v>
      </c>
      <c r="AA13" s="42">
        <v>0</v>
      </c>
      <c r="AB13" s="42">
        <v>1</v>
      </c>
      <c r="AC13" s="42">
        <v>0</v>
      </c>
      <c r="AD13" s="42">
        <v>0</v>
      </c>
      <c r="AE13" s="43">
        <f t="shared" si="23"/>
        <v>0</v>
      </c>
      <c r="AF13" s="43">
        <f t="shared" si="24"/>
        <v>0</v>
      </c>
      <c r="AG13" s="43">
        <f t="shared" si="25"/>
        <v>1</v>
      </c>
      <c r="AH13" s="43">
        <f t="shared" si="26"/>
        <v>0</v>
      </c>
      <c r="AI13" s="43">
        <f t="shared" si="27"/>
        <v>1</v>
      </c>
      <c r="AJ13" s="43">
        <f t="shared" si="28"/>
        <v>0</v>
      </c>
      <c r="AK13" s="43">
        <f t="shared" si="29"/>
        <v>1</v>
      </c>
      <c r="AL13" s="43">
        <f t="shared" si="30"/>
        <v>1</v>
      </c>
      <c r="AM13" s="43">
        <f t="shared" si="31"/>
        <v>0</v>
      </c>
      <c r="AN13" s="38">
        <f t="shared" si="33"/>
        <v>4</v>
      </c>
      <c r="AP13" s="41" t="s">
        <v>85</v>
      </c>
      <c r="AQ13" s="41" t="s">
        <v>86</v>
      </c>
      <c r="AS13" s="39" t="s">
        <v>85</v>
      </c>
      <c r="AT13" s="39" t="s">
        <v>87</v>
      </c>
      <c r="AU13" s="39" t="s">
        <v>88</v>
      </c>
      <c r="AV13" s="39" t="s">
        <v>89</v>
      </c>
      <c r="AY13" s="42">
        <v>1</v>
      </c>
      <c r="AZ13" s="42">
        <v>1</v>
      </c>
      <c r="BA13" s="42">
        <v>0</v>
      </c>
      <c r="BB13" s="43">
        <f t="shared" si="2"/>
        <v>1</v>
      </c>
      <c r="BC13" s="43">
        <f t="shared" si="3"/>
        <v>1</v>
      </c>
      <c r="BD13" s="43">
        <f t="shared" si="4"/>
        <v>0</v>
      </c>
      <c r="BE13" s="43">
        <f t="shared" si="5"/>
        <v>0</v>
      </c>
      <c r="BF13" s="43">
        <f t="shared" si="6"/>
        <v>1</v>
      </c>
      <c r="BG13" s="43">
        <f t="shared" si="7"/>
        <v>1</v>
      </c>
      <c r="BH13" s="43">
        <f t="shared" si="8"/>
        <v>1</v>
      </c>
      <c r="BI13" s="43">
        <f t="shared" si="9"/>
        <v>1</v>
      </c>
      <c r="BJ13" s="43">
        <f t="shared" si="10"/>
        <v>1</v>
      </c>
      <c r="BK13" s="38">
        <f t="shared" si="22"/>
        <v>7</v>
      </c>
      <c r="BM13" s="42">
        <v>3</v>
      </c>
      <c r="BN13" s="42">
        <f t="shared" si="34"/>
        <v>2</v>
      </c>
      <c r="BP13" s="40">
        <v>4</v>
      </c>
      <c r="BQ13" s="40">
        <f t="shared" si="35"/>
        <v>1.26247696E-8</v>
      </c>
      <c r="BR13" s="40">
        <f t="shared" si="36"/>
        <v>0.94811175283002525</v>
      </c>
      <c r="BS13" s="40">
        <f t="shared" si="32"/>
        <v>2.3939384869062435E-8</v>
      </c>
    </row>
    <row r="14" spans="2:71" x14ac:dyDescent="0.3">
      <c r="B14" s="42">
        <v>0</v>
      </c>
      <c r="C14" s="42">
        <v>1</v>
      </c>
      <c r="D14" s="42">
        <v>1</v>
      </c>
      <c r="E14" s="42">
        <v>0</v>
      </c>
      <c r="F14" s="43">
        <f t="shared" si="11"/>
        <v>0</v>
      </c>
      <c r="G14" s="43">
        <f t="shared" si="12"/>
        <v>1</v>
      </c>
      <c r="H14" s="43">
        <f t="shared" si="13"/>
        <v>1</v>
      </c>
      <c r="I14" s="43">
        <f t="shared" si="14"/>
        <v>0</v>
      </c>
      <c r="J14" s="43">
        <f t="shared" si="15"/>
        <v>0</v>
      </c>
      <c r="K14" s="43">
        <f t="shared" si="16"/>
        <v>1</v>
      </c>
      <c r="L14" s="43">
        <f t="shared" si="17"/>
        <v>1</v>
      </c>
      <c r="M14" s="43">
        <f t="shared" si="18"/>
        <v>1</v>
      </c>
      <c r="N14" s="43">
        <f t="shared" si="19"/>
        <v>1</v>
      </c>
      <c r="O14" s="38">
        <f t="shared" si="20"/>
        <v>6</v>
      </c>
      <c r="Q14" s="42">
        <v>1</v>
      </c>
      <c r="R14" s="42">
        <f t="shared" ref="R14:R22" si="37">COUNTIF($O$8:$O$23,Q14)</f>
        <v>0</v>
      </c>
      <c r="T14" s="40">
        <v>2</v>
      </c>
      <c r="U14" s="40">
        <f t="shared" ref="U14:U21" si="38">$R$5^T14</f>
        <v>1.1236E-4</v>
      </c>
      <c r="V14" s="40">
        <f t="shared" ref="V14:V21" si="39">(1-$R$5)^(9-T14)</f>
        <v>0.9281183135065767</v>
      </c>
      <c r="W14" s="40">
        <f t="shared" ref="W14:W21" si="40">R15*U14*V14</f>
        <v>0</v>
      </c>
      <c r="Z14" s="42">
        <v>0</v>
      </c>
      <c r="AA14" s="42">
        <v>0</v>
      </c>
      <c r="AB14" s="42">
        <v>1</v>
      </c>
      <c r="AC14" s="42">
        <v>0</v>
      </c>
      <c r="AD14" s="42">
        <v>1</v>
      </c>
      <c r="AE14" s="43">
        <f t="shared" si="23"/>
        <v>0</v>
      </c>
      <c r="AF14" s="43">
        <f t="shared" si="24"/>
        <v>0</v>
      </c>
      <c r="AG14" s="43">
        <f t="shared" si="25"/>
        <v>1</v>
      </c>
      <c r="AH14" s="43">
        <f t="shared" si="26"/>
        <v>0</v>
      </c>
      <c r="AI14" s="43">
        <f t="shared" si="27"/>
        <v>0</v>
      </c>
      <c r="AJ14" s="43">
        <f t="shared" si="28"/>
        <v>1</v>
      </c>
      <c r="AK14" s="43">
        <f t="shared" si="29"/>
        <v>0</v>
      </c>
      <c r="AL14" s="43">
        <f t="shared" si="30"/>
        <v>1</v>
      </c>
      <c r="AM14" s="43">
        <f t="shared" si="31"/>
        <v>1</v>
      </c>
      <c r="AN14" s="38">
        <f t="shared" si="33"/>
        <v>4</v>
      </c>
      <c r="AP14" s="42">
        <v>0</v>
      </c>
      <c r="AQ14" s="42">
        <f>COUNTIF($AN$9:$AN$40,AP14)</f>
        <v>1</v>
      </c>
      <c r="AS14" s="40">
        <v>1</v>
      </c>
      <c r="AT14" s="40">
        <f>$AQ$6^AS14</f>
        <v>2.06E-2</v>
      </c>
      <c r="AU14" s="40">
        <f>(1-$AQ$6)^(9-AS14)</f>
        <v>0.8466049383879386</v>
      </c>
      <c r="AV14" s="40">
        <f t="shared" ref="AV14:AV22" si="41">AQ15*AT14*AU14</f>
        <v>0</v>
      </c>
      <c r="AY14" s="42">
        <v>1</v>
      </c>
      <c r="AZ14" s="42">
        <v>1</v>
      </c>
      <c r="BA14" s="42">
        <v>1</v>
      </c>
      <c r="BB14" s="43">
        <f t="shared" si="2"/>
        <v>1</v>
      </c>
      <c r="BC14" s="43">
        <f t="shared" si="3"/>
        <v>1</v>
      </c>
      <c r="BD14" s="43">
        <f t="shared" si="4"/>
        <v>1</v>
      </c>
      <c r="BE14" s="43">
        <f t="shared" si="5"/>
        <v>0</v>
      </c>
      <c r="BF14" s="43">
        <f t="shared" si="6"/>
        <v>0</v>
      </c>
      <c r="BG14" s="43">
        <f t="shared" si="7"/>
        <v>1</v>
      </c>
      <c r="BH14" s="43">
        <f t="shared" si="8"/>
        <v>0</v>
      </c>
      <c r="BI14" s="43">
        <f t="shared" si="9"/>
        <v>0</v>
      </c>
      <c r="BJ14" s="43">
        <f t="shared" si="10"/>
        <v>1</v>
      </c>
      <c r="BK14" s="38">
        <f t="shared" si="22"/>
        <v>5</v>
      </c>
      <c r="BM14" s="42">
        <v>4</v>
      </c>
      <c r="BN14" s="42">
        <f t="shared" si="34"/>
        <v>2</v>
      </c>
      <c r="BP14" s="40">
        <v>5</v>
      </c>
      <c r="BQ14" s="40">
        <f t="shared" si="35"/>
        <v>1.3382255776000001E-10</v>
      </c>
      <c r="BR14" s="40">
        <f t="shared" si="36"/>
        <v>0.95826940856076948</v>
      </c>
      <c r="BS14" s="40">
        <f t="shared" si="32"/>
        <v>1.2823806327676462E-10</v>
      </c>
    </row>
    <row r="15" spans="2:71" x14ac:dyDescent="0.3">
      <c r="B15" s="42">
        <v>0</v>
      </c>
      <c r="C15" s="42">
        <v>1</v>
      </c>
      <c r="D15" s="42">
        <v>1</v>
      </c>
      <c r="E15" s="42">
        <v>1</v>
      </c>
      <c r="F15" s="43">
        <f t="shared" si="11"/>
        <v>0</v>
      </c>
      <c r="G15" s="43">
        <f t="shared" si="12"/>
        <v>1</v>
      </c>
      <c r="H15" s="43">
        <f t="shared" si="13"/>
        <v>1</v>
      </c>
      <c r="I15" s="43">
        <f t="shared" si="14"/>
        <v>1</v>
      </c>
      <c r="J15" s="43">
        <f t="shared" si="15"/>
        <v>1</v>
      </c>
      <c r="K15" s="43">
        <f t="shared" si="16"/>
        <v>0</v>
      </c>
      <c r="L15" s="43">
        <f t="shared" si="17"/>
        <v>1</v>
      </c>
      <c r="M15" s="43">
        <f t="shared" si="18"/>
        <v>0</v>
      </c>
      <c r="N15" s="43">
        <f t="shared" si="19"/>
        <v>0</v>
      </c>
      <c r="O15" s="38">
        <f t="shared" si="20"/>
        <v>5</v>
      </c>
      <c r="Q15" s="42">
        <v>2</v>
      </c>
      <c r="R15" s="42">
        <f t="shared" si="37"/>
        <v>0</v>
      </c>
      <c r="T15" s="40">
        <v>3</v>
      </c>
      <c r="U15" s="40">
        <f t="shared" si="38"/>
        <v>1.1910159999999999E-6</v>
      </c>
      <c r="V15" s="40">
        <f t="shared" si="39"/>
        <v>0.93806176825002696</v>
      </c>
      <c r="W15" s="40">
        <f t="shared" si="40"/>
        <v>3.3517397249222225E-6</v>
      </c>
      <c r="Z15" s="42">
        <v>0</v>
      </c>
      <c r="AA15" s="42">
        <v>0</v>
      </c>
      <c r="AB15" s="42">
        <v>1</v>
      </c>
      <c r="AC15" s="42">
        <v>1</v>
      </c>
      <c r="AD15" s="42">
        <v>0</v>
      </c>
      <c r="AE15" s="43">
        <f t="shared" si="23"/>
        <v>0</v>
      </c>
      <c r="AF15" s="43">
        <f t="shared" si="24"/>
        <v>0</v>
      </c>
      <c r="AG15" s="43">
        <f t="shared" si="25"/>
        <v>1</v>
      </c>
      <c r="AH15" s="43">
        <f t="shared" si="26"/>
        <v>1</v>
      </c>
      <c r="AI15" s="43">
        <f t="shared" si="27"/>
        <v>0</v>
      </c>
      <c r="AJ15" s="43">
        <f t="shared" si="28"/>
        <v>1</v>
      </c>
      <c r="AK15" s="43">
        <f t="shared" si="29"/>
        <v>1</v>
      </c>
      <c r="AL15" s="43">
        <f t="shared" si="30"/>
        <v>0</v>
      </c>
      <c r="AM15" s="43">
        <f t="shared" si="31"/>
        <v>1</v>
      </c>
      <c r="AN15" s="38">
        <f t="shared" si="33"/>
        <v>5</v>
      </c>
      <c r="AP15" s="42">
        <v>1</v>
      </c>
      <c r="AQ15" s="42">
        <f t="shared" ref="AQ15:AQ23" si="42">COUNTIF($AN$9:$AN$40,AP15)</f>
        <v>0</v>
      </c>
      <c r="AS15" s="40">
        <v>2</v>
      </c>
      <c r="AT15" s="40">
        <f t="shared" ref="AT15:AT22" si="43">$AQ$6^AS15</f>
        <v>4.2436000000000004E-4</v>
      </c>
      <c r="AU15" s="40">
        <f t="shared" ref="AU15:AU22" si="44">(1-$AQ$6)^(9-AS15)</f>
        <v>0.86441182191947974</v>
      </c>
      <c r="AV15" s="40">
        <f t="shared" si="41"/>
        <v>7.3364360149950089E-4</v>
      </c>
      <c r="BM15" s="42">
        <v>5</v>
      </c>
      <c r="BN15" s="42">
        <f t="shared" si="34"/>
        <v>1</v>
      </c>
      <c r="BP15" s="40">
        <v>6</v>
      </c>
      <c r="BQ15" s="40">
        <f t="shared" si="35"/>
        <v>1.4185191122560001E-12</v>
      </c>
      <c r="BR15" s="40">
        <f t="shared" si="36"/>
        <v>0.96853588898399989</v>
      </c>
      <c r="BS15" s="40">
        <f t="shared" si="32"/>
        <v>1.3738866694296593E-12</v>
      </c>
    </row>
    <row r="16" spans="2:71" x14ac:dyDescent="0.3">
      <c r="B16" s="42">
        <v>1</v>
      </c>
      <c r="C16" s="42">
        <v>0</v>
      </c>
      <c r="D16" s="42">
        <v>0</v>
      </c>
      <c r="E16" s="42">
        <v>0</v>
      </c>
      <c r="F16" s="43">
        <f t="shared" si="11"/>
        <v>1</v>
      </c>
      <c r="G16" s="43">
        <f t="shared" si="12"/>
        <v>0</v>
      </c>
      <c r="H16" s="43">
        <f t="shared" si="13"/>
        <v>0</v>
      </c>
      <c r="I16" s="43">
        <f t="shared" si="14"/>
        <v>0</v>
      </c>
      <c r="J16" s="43">
        <f t="shared" si="15"/>
        <v>0</v>
      </c>
      <c r="K16" s="43">
        <f t="shared" si="16"/>
        <v>0</v>
      </c>
      <c r="L16" s="43">
        <f t="shared" si="17"/>
        <v>1</v>
      </c>
      <c r="M16" s="43">
        <f t="shared" si="18"/>
        <v>1</v>
      </c>
      <c r="N16" s="43">
        <f t="shared" si="19"/>
        <v>0</v>
      </c>
      <c r="O16" s="38">
        <f t="shared" si="20"/>
        <v>3</v>
      </c>
      <c r="Q16" s="42">
        <v>3</v>
      </c>
      <c r="R16" s="42">
        <f t="shared" si="37"/>
        <v>3</v>
      </c>
      <c r="T16" s="40">
        <v>4</v>
      </c>
      <c r="U16" s="40">
        <f t="shared" si="38"/>
        <v>1.26247696E-8</v>
      </c>
      <c r="V16" s="40">
        <f t="shared" si="39"/>
        <v>0.94811175283002525</v>
      </c>
      <c r="W16" s="40">
        <f t="shared" si="40"/>
        <v>3.590907730359365E-8</v>
      </c>
      <c r="Z16" s="42">
        <v>0</v>
      </c>
      <c r="AA16" s="42">
        <v>0</v>
      </c>
      <c r="AB16" s="42">
        <v>1</v>
      </c>
      <c r="AC16" s="42">
        <v>1</v>
      </c>
      <c r="AD16" s="42">
        <v>1</v>
      </c>
      <c r="AE16" s="43">
        <f t="shared" si="23"/>
        <v>0</v>
      </c>
      <c r="AF16" s="43">
        <f t="shared" si="24"/>
        <v>0</v>
      </c>
      <c r="AG16" s="43">
        <f t="shared" si="25"/>
        <v>1</v>
      </c>
      <c r="AH16" s="43">
        <f t="shared" si="26"/>
        <v>1</v>
      </c>
      <c r="AI16" s="43">
        <f t="shared" si="27"/>
        <v>1</v>
      </c>
      <c r="AJ16" s="43">
        <f t="shared" si="28"/>
        <v>0</v>
      </c>
      <c r="AK16" s="43">
        <f t="shared" si="29"/>
        <v>0</v>
      </c>
      <c r="AL16" s="43">
        <f t="shared" si="30"/>
        <v>0</v>
      </c>
      <c r="AM16" s="43">
        <f t="shared" si="31"/>
        <v>0</v>
      </c>
      <c r="AN16" s="38">
        <f t="shared" si="33"/>
        <v>3</v>
      </c>
      <c r="AP16" s="42">
        <v>2</v>
      </c>
      <c r="AQ16" s="42">
        <f t="shared" si="42"/>
        <v>2</v>
      </c>
      <c r="AS16" s="40">
        <v>3</v>
      </c>
      <c r="AT16" s="40">
        <f t="shared" si="43"/>
        <v>8.7418160000000003E-6</v>
      </c>
      <c r="AU16" s="40">
        <f t="shared" si="44"/>
        <v>0.88259324271950146</v>
      </c>
      <c r="AV16" s="40">
        <f t="shared" si="41"/>
        <v>4.6292806384183328E-5</v>
      </c>
      <c r="BM16" s="42">
        <v>6</v>
      </c>
      <c r="BN16" s="42">
        <f t="shared" si="34"/>
        <v>1</v>
      </c>
      <c r="BP16" s="40">
        <v>7</v>
      </c>
      <c r="BQ16" s="40">
        <f t="shared" si="35"/>
        <v>1.5036302589913597E-14</v>
      </c>
      <c r="BR16" s="40">
        <f t="shared" si="36"/>
        <v>0.97891235999999993</v>
      </c>
      <c r="BS16" s="40">
        <f t="shared" si="32"/>
        <v>1.4719222453966429E-14</v>
      </c>
    </row>
    <row r="17" spans="2:71" x14ac:dyDescent="0.3">
      <c r="B17" s="42">
        <v>1</v>
      </c>
      <c r="C17" s="42">
        <v>0</v>
      </c>
      <c r="D17" s="42">
        <v>0</v>
      </c>
      <c r="E17" s="42">
        <v>1</v>
      </c>
      <c r="F17" s="43">
        <f t="shared" si="11"/>
        <v>1</v>
      </c>
      <c r="G17" s="43">
        <f t="shared" si="12"/>
        <v>0</v>
      </c>
      <c r="H17" s="43">
        <f t="shared" si="13"/>
        <v>0</v>
      </c>
      <c r="I17" s="43">
        <f t="shared" si="14"/>
        <v>1</v>
      </c>
      <c r="J17" s="43">
        <f t="shared" si="15"/>
        <v>1</v>
      </c>
      <c r="K17" s="43">
        <f t="shared" si="16"/>
        <v>1</v>
      </c>
      <c r="L17" s="43">
        <f t="shared" si="17"/>
        <v>1</v>
      </c>
      <c r="M17" s="43">
        <f t="shared" si="18"/>
        <v>0</v>
      </c>
      <c r="N17" s="43">
        <f t="shared" si="19"/>
        <v>1</v>
      </c>
      <c r="O17" s="38">
        <f t="shared" si="20"/>
        <v>6</v>
      </c>
      <c r="Q17" s="42">
        <v>4</v>
      </c>
      <c r="R17" s="42">
        <f t="shared" si="37"/>
        <v>3</v>
      </c>
      <c r="T17" s="40">
        <v>5</v>
      </c>
      <c r="U17" s="40">
        <f t="shared" si="38"/>
        <v>1.3382255776000001E-10</v>
      </c>
      <c r="V17" s="40">
        <f t="shared" si="39"/>
        <v>0.95826940856076948</v>
      </c>
      <c r="W17" s="40">
        <f t="shared" si="40"/>
        <v>5.1295225310705847E-10</v>
      </c>
      <c r="Z17" s="42">
        <v>0</v>
      </c>
      <c r="AA17" s="42">
        <v>1</v>
      </c>
      <c r="AB17" s="42">
        <v>0</v>
      </c>
      <c r="AC17" s="42">
        <v>0</v>
      </c>
      <c r="AD17" s="42">
        <v>0</v>
      </c>
      <c r="AE17" s="43">
        <f t="shared" si="23"/>
        <v>0</v>
      </c>
      <c r="AF17" s="43">
        <f t="shared" si="24"/>
        <v>1</v>
      </c>
      <c r="AG17" s="43">
        <f t="shared" si="25"/>
        <v>0</v>
      </c>
      <c r="AH17" s="43">
        <f t="shared" si="26"/>
        <v>0</v>
      </c>
      <c r="AI17" s="43">
        <f t="shared" si="27"/>
        <v>1</v>
      </c>
      <c r="AJ17" s="43">
        <f t="shared" si="28"/>
        <v>1</v>
      </c>
      <c r="AK17" s="43">
        <f t="shared" si="29"/>
        <v>0</v>
      </c>
      <c r="AL17" s="43">
        <f t="shared" si="30"/>
        <v>0</v>
      </c>
      <c r="AM17" s="43">
        <f t="shared" si="31"/>
        <v>1</v>
      </c>
      <c r="AN17" s="38">
        <f t="shared" si="33"/>
        <v>4</v>
      </c>
      <c r="AP17" s="42">
        <v>3</v>
      </c>
      <c r="AQ17" s="42">
        <f t="shared" si="42"/>
        <v>6</v>
      </c>
      <c r="AS17" s="40">
        <v>4</v>
      </c>
      <c r="AT17" s="40">
        <f t="shared" si="43"/>
        <v>1.8008140960000003E-7</v>
      </c>
      <c r="AU17" s="40">
        <f t="shared" si="44"/>
        <v>0.90115707853737126</v>
      </c>
      <c r="AV17" s="40">
        <f t="shared" si="41"/>
        <v>9.736898218441665E-7</v>
      </c>
      <c r="BM17" s="42">
        <v>7</v>
      </c>
      <c r="BN17" s="42">
        <f t="shared" si="34"/>
        <v>1</v>
      </c>
      <c r="BP17" s="40">
        <v>8</v>
      </c>
      <c r="BQ17" s="40">
        <f t="shared" si="35"/>
        <v>1.5938480745308416E-16</v>
      </c>
      <c r="BR17" s="40">
        <f t="shared" si="36"/>
        <v>0.98939999999999995</v>
      </c>
      <c r="BS17" s="40">
        <f t="shared" si="32"/>
        <v>0</v>
      </c>
    </row>
    <row r="18" spans="2:71" x14ac:dyDescent="0.3">
      <c r="B18" s="42">
        <v>1</v>
      </c>
      <c r="C18" s="42">
        <v>0</v>
      </c>
      <c r="D18" s="42">
        <v>1</v>
      </c>
      <c r="E18" s="42">
        <v>0</v>
      </c>
      <c r="F18" s="43">
        <f t="shared" si="11"/>
        <v>1</v>
      </c>
      <c r="G18" s="43">
        <f t="shared" si="12"/>
        <v>0</v>
      </c>
      <c r="H18" s="43">
        <f t="shared" si="13"/>
        <v>1</v>
      </c>
      <c r="I18" s="43">
        <f t="shared" si="14"/>
        <v>0</v>
      </c>
      <c r="J18" s="43">
        <f t="shared" si="15"/>
        <v>1</v>
      </c>
      <c r="K18" s="43">
        <f t="shared" si="16"/>
        <v>0</v>
      </c>
      <c r="L18" s="43">
        <f t="shared" si="17"/>
        <v>0</v>
      </c>
      <c r="M18" s="43">
        <f t="shared" si="18"/>
        <v>0</v>
      </c>
      <c r="N18" s="43">
        <f t="shared" si="19"/>
        <v>0</v>
      </c>
      <c r="O18" s="38">
        <f t="shared" si="20"/>
        <v>3</v>
      </c>
      <c r="Q18" s="42">
        <v>5</v>
      </c>
      <c r="R18" s="42">
        <f t="shared" si="37"/>
        <v>4</v>
      </c>
      <c r="T18" s="40">
        <v>6</v>
      </c>
      <c r="U18" s="40">
        <f t="shared" si="38"/>
        <v>1.4185191122560001E-12</v>
      </c>
      <c r="V18" s="40">
        <f t="shared" si="39"/>
        <v>0.96853588898399989</v>
      </c>
      <c r="W18" s="40">
        <f t="shared" si="40"/>
        <v>5.4955466777186374E-12</v>
      </c>
      <c r="Z18" s="42">
        <v>0</v>
      </c>
      <c r="AA18" s="42">
        <v>1</v>
      </c>
      <c r="AB18" s="42">
        <v>0</v>
      </c>
      <c r="AC18" s="42">
        <v>0</v>
      </c>
      <c r="AD18" s="42">
        <v>1</v>
      </c>
      <c r="AE18" s="43">
        <f t="shared" si="23"/>
        <v>0</v>
      </c>
      <c r="AF18" s="43">
        <f t="shared" si="24"/>
        <v>1</v>
      </c>
      <c r="AG18" s="43">
        <f t="shared" si="25"/>
        <v>0</v>
      </c>
      <c r="AH18" s="43">
        <f t="shared" si="26"/>
        <v>0</v>
      </c>
      <c r="AI18" s="43">
        <f t="shared" si="27"/>
        <v>0</v>
      </c>
      <c r="AJ18" s="43">
        <f t="shared" si="28"/>
        <v>0</v>
      </c>
      <c r="AK18" s="43">
        <f t="shared" si="29"/>
        <v>1</v>
      </c>
      <c r="AL18" s="43">
        <f t="shared" si="30"/>
        <v>0</v>
      </c>
      <c r="AM18" s="43">
        <f t="shared" si="31"/>
        <v>0</v>
      </c>
      <c r="AN18" s="38">
        <f t="shared" si="33"/>
        <v>2</v>
      </c>
      <c r="AP18" s="42">
        <v>4</v>
      </c>
      <c r="AQ18" s="42">
        <f t="shared" si="42"/>
        <v>6</v>
      </c>
      <c r="AS18" s="40">
        <v>5</v>
      </c>
      <c r="AT18" s="40">
        <f t="shared" si="43"/>
        <v>3.7096770377600007E-9</v>
      </c>
      <c r="AU18" s="40">
        <f t="shared" si="44"/>
        <v>0.92011137281740984</v>
      </c>
      <c r="AV18" s="40">
        <f t="shared" si="41"/>
        <v>2.7306528255380612E-8</v>
      </c>
      <c r="BM18" s="42">
        <v>8</v>
      </c>
      <c r="BN18" s="42">
        <f t="shared" si="34"/>
        <v>0</v>
      </c>
      <c r="BP18" s="40">
        <v>9</v>
      </c>
      <c r="BQ18" s="40">
        <f t="shared" si="35"/>
        <v>1.6894789590026921E-18</v>
      </c>
      <c r="BR18" s="40">
        <f t="shared" si="36"/>
        <v>1</v>
      </c>
      <c r="BS18" s="40">
        <f t="shared" si="32"/>
        <v>0</v>
      </c>
    </row>
    <row r="19" spans="2:71" x14ac:dyDescent="0.3">
      <c r="B19" s="42">
        <v>1</v>
      </c>
      <c r="C19" s="42">
        <v>0</v>
      </c>
      <c r="D19" s="42">
        <v>1</v>
      </c>
      <c r="E19" s="42">
        <v>1</v>
      </c>
      <c r="F19" s="43">
        <f t="shared" si="11"/>
        <v>1</v>
      </c>
      <c r="G19" s="43">
        <f t="shared" si="12"/>
        <v>0</v>
      </c>
      <c r="H19" s="43">
        <f t="shared" si="13"/>
        <v>1</v>
      </c>
      <c r="I19" s="43">
        <f t="shared" si="14"/>
        <v>1</v>
      </c>
      <c r="J19" s="43">
        <f t="shared" si="15"/>
        <v>0</v>
      </c>
      <c r="K19" s="43">
        <f t="shared" si="16"/>
        <v>1</v>
      </c>
      <c r="L19" s="43">
        <f t="shared" si="17"/>
        <v>0</v>
      </c>
      <c r="M19" s="43">
        <f t="shared" si="18"/>
        <v>1</v>
      </c>
      <c r="N19" s="43">
        <f t="shared" si="19"/>
        <v>1</v>
      </c>
      <c r="O19" s="38">
        <f t="shared" si="20"/>
        <v>6</v>
      </c>
      <c r="Q19" s="42">
        <v>6</v>
      </c>
      <c r="R19" s="42">
        <f t="shared" si="37"/>
        <v>4</v>
      </c>
      <c r="T19" s="40">
        <v>7</v>
      </c>
      <c r="U19" s="40">
        <f t="shared" si="38"/>
        <v>1.5036302589913597E-14</v>
      </c>
      <c r="V19" s="40">
        <f t="shared" si="39"/>
        <v>0.97891235999999993</v>
      </c>
      <c r="W19" s="40">
        <f t="shared" si="40"/>
        <v>1.4719222453966429E-14</v>
      </c>
      <c r="Z19" s="42">
        <v>0</v>
      </c>
      <c r="AA19" s="42">
        <v>1</v>
      </c>
      <c r="AB19" s="42">
        <v>0</v>
      </c>
      <c r="AC19" s="42">
        <v>1</v>
      </c>
      <c r="AD19" s="42">
        <v>0</v>
      </c>
      <c r="AE19" s="43">
        <f t="shared" si="23"/>
        <v>0</v>
      </c>
      <c r="AF19" s="43">
        <f t="shared" si="24"/>
        <v>1</v>
      </c>
      <c r="AG19" s="43">
        <f t="shared" si="25"/>
        <v>0</v>
      </c>
      <c r="AH19" s="43">
        <f t="shared" si="26"/>
        <v>1</v>
      </c>
      <c r="AI19" s="43">
        <f t="shared" si="27"/>
        <v>0</v>
      </c>
      <c r="AJ19" s="43">
        <f t="shared" si="28"/>
        <v>0</v>
      </c>
      <c r="AK19" s="43">
        <f t="shared" si="29"/>
        <v>0</v>
      </c>
      <c r="AL19" s="43">
        <f t="shared" si="30"/>
        <v>1</v>
      </c>
      <c r="AM19" s="43">
        <f t="shared" si="31"/>
        <v>0</v>
      </c>
      <c r="AN19" s="38">
        <f t="shared" si="33"/>
        <v>3</v>
      </c>
      <c r="AP19" s="42">
        <v>5</v>
      </c>
      <c r="AQ19" s="42">
        <f t="shared" si="42"/>
        <v>8</v>
      </c>
      <c r="AS19" s="40">
        <v>6</v>
      </c>
      <c r="AT19" s="40">
        <f t="shared" si="43"/>
        <v>7.6419346977856023E-11</v>
      </c>
      <c r="AU19" s="40">
        <f t="shared" si="44"/>
        <v>0.9394643381840001</v>
      </c>
      <c r="AV19" s="40">
        <f t="shared" si="41"/>
        <v>4.3075950739802988E-10</v>
      </c>
      <c r="BM19" s="42">
        <v>9</v>
      </c>
      <c r="BN19" s="42">
        <f t="shared" si="34"/>
        <v>0</v>
      </c>
      <c r="BR19" s="39" t="s">
        <v>91</v>
      </c>
      <c r="BS19" s="39">
        <f>SUM(BS10:BS18)</f>
        <v>2.2585621614863787E-6</v>
      </c>
    </row>
    <row r="20" spans="2:71" x14ac:dyDescent="0.3">
      <c r="B20" s="42">
        <v>1</v>
      </c>
      <c r="C20" s="42">
        <v>1</v>
      </c>
      <c r="D20" s="42">
        <v>0</v>
      </c>
      <c r="E20" s="42">
        <v>0</v>
      </c>
      <c r="F20" s="43">
        <f t="shared" si="11"/>
        <v>1</v>
      </c>
      <c r="G20" s="43">
        <f t="shared" si="12"/>
        <v>1</v>
      </c>
      <c r="H20" s="43">
        <f t="shared" si="13"/>
        <v>0</v>
      </c>
      <c r="I20" s="43">
        <f t="shared" si="14"/>
        <v>0</v>
      </c>
      <c r="J20" s="43">
        <f t="shared" si="15"/>
        <v>1</v>
      </c>
      <c r="K20" s="43">
        <f t="shared" si="16"/>
        <v>1</v>
      </c>
      <c r="L20" s="43">
        <f t="shared" si="17"/>
        <v>1</v>
      </c>
      <c r="M20" s="43">
        <f t="shared" si="18"/>
        <v>1</v>
      </c>
      <c r="N20" s="43">
        <f t="shared" si="19"/>
        <v>1</v>
      </c>
      <c r="O20" s="38">
        <f t="shared" si="20"/>
        <v>7</v>
      </c>
      <c r="Q20" s="42">
        <v>7</v>
      </c>
      <c r="R20" s="42">
        <f t="shared" si="37"/>
        <v>1</v>
      </c>
      <c r="T20" s="40">
        <v>8</v>
      </c>
      <c r="U20" s="40">
        <f t="shared" si="38"/>
        <v>1.5938480745308416E-16</v>
      </c>
      <c r="V20" s="40">
        <f t="shared" si="39"/>
        <v>0.98939999999999995</v>
      </c>
      <c r="W20" s="40">
        <f t="shared" si="40"/>
        <v>0</v>
      </c>
      <c r="Z20" s="42">
        <v>0</v>
      </c>
      <c r="AA20" s="42">
        <v>1</v>
      </c>
      <c r="AB20" s="42">
        <v>0</v>
      </c>
      <c r="AC20" s="42">
        <v>1</v>
      </c>
      <c r="AD20" s="42">
        <v>1</v>
      </c>
      <c r="AE20" s="43">
        <f t="shared" si="23"/>
        <v>0</v>
      </c>
      <c r="AF20" s="43">
        <f t="shared" si="24"/>
        <v>1</v>
      </c>
      <c r="AG20" s="43">
        <f t="shared" si="25"/>
        <v>0</v>
      </c>
      <c r="AH20" s="43">
        <f t="shared" si="26"/>
        <v>1</v>
      </c>
      <c r="AI20" s="43">
        <f t="shared" si="27"/>
        <v>1</v>
      </c>
      <c r="AJ20" s="43">
        <f t="shared" si="28"/>
        <v>1</v>
      </c>
      <c r="AK20" s="43">
        <f t="shared" si="29"/>
        <v>1</v>
      </c>
      <c r="AL20" s="43">
        <f t="shared" si="30"/>
        <v>1</v>
      </c>
      <c r="AM20" s="43">
        <f t="shared" si="31"/>
        <v>1</v>
      </c>
      <c r="AN20" s="38">
        <f t="shared" si="33"/>
        <v>7</v>
      </c>
      <c r="AP20" s="42">
        <v>6</v>
      </c>
      <c r="AQ20" s="42">
        <f t="shared" si="42"/>
        <v>6</v>
      </c>
      <c r="AS20" s="40">
        <v>7</v>
      </c>
      <c r="AT20" s="40">
        <f t="shared" si="43"/>
        <v>1.5742385477438339E-12</v>
      </c>
      <c r="AU20" s="40">
        <f t="shared" si="44"/>
        <v>0.95922436000000011</v>
      </c>
      <c r="AV20" s="40">
        <f t="shared" si="41"/>
        <v>3.0200959268938176E-12</v>
      </c>
      <c r="BM20" s="41" t="s">
        <v>84</v>
      </c>
      <c r="BN20" s="41">
        <f>SUM(BN10:BN19)</f>
        <v>8</v>
      </c>
      <c r="BR20" s="39" t="s">
        <v>92</v>
      </c>
      <c r="BS20" s="39">
        <f>1-BS19</f>
        <v>0.99999774143783848</v>
      </c>
    </row>
    <row r="21" spans="2:71" x14ac:dyDescent="0.3">
      <c r="B21" s="42">
        <v>1</v>
      </c>
      <c r="C21" s="42">
        <v>1</v>
      </c>
      <c r="D21" s="42">
        <v>0</v>
      </c>
      <c r="E21" s="42">
        <v>1</v>
      </c>
      <c r="F21" s="43">
        <f t="shared" si="11"/>
        <v>1</v>
      </c>
      <c r="G21" s="43">
        <f t="shared" si="12"/>
        <v>1</v>
      </c>
      <c r="H21" s="43">
        <f t="shared" si="13"/>
        <v>0</v>
      </c>
      <c r="I21" s="43">
        <f t="shared" si="14"/>
        <v>1</v>
      </c>
      <c r="J21" s="43">
        <f t="shared" si="15"/>
        <v>0</v>
      </c>
      <c r="K21" s="43">
        <f t="shared" si="16"/>
        <v>0</v>
      </c>
      <c r="L21" s="43">
        <f t="shared" si="17"/>
        <v>1</v>
      </c>
      <c r="M21" s="43">
        <f t="shared" si="18"/>
        <v>0</v>
      </c>
      <c r="N21" s="43">
        <f t="shared" si="19"/>
        <v>0</v>
      </c>
      <c r="O21" s="38">
        <f t="shared" si="20"/>
        <v>4</v>
      </c>
      <c r="Q21" s="42">
        <v>8</v>
      </c>
      <c r="R21" s="42">
        <f t="shared" si="37"/>
        <v>0</v>
      </c>
      <c r="T21" s="40">
        <v>9</v>
      </c>
      <c r="U21" s="40">
        <f t="shared" si="38"/>
        <v>1.6894789590026921E-18</v>
      </c>
      <c r="V21" s="40">
        <f t="shared" si="39"/>
        <v>1</v>
      </c>
      <c r="W21" s="40">
        <f t="shared" si="40"/>
        <v>0</v>
      </c>
      <c r="Z21" s="42">
        <v>0</v>
      </c>
      <c r="AA21" s="42">
        <v>1</v>
      </c>
      <c r="AB21" s="42">
        <v>1</v>
      </c>
      <c r="AC21" s="42">
        <v>0</v>
      </c>
      <c r="AD21" s="42">
        <v>0</v>
      </c>
      <c r="AE21" s="43">
        <f t="shared" si="23"/>
        <v>0</v>
      </c>
      <c r="AF21" s="43">
        <f t="shared" si="24"/>
        <v>1</v>
      </c>
      <c r="AG21" s="43">
        <f t="shared" si="25"/>
        <v>1</v>
      </c>
      <c r="AH21" s="43">
        <f t="shared" si="26"/>
        <v>0</v>
      </c>
      <c r="AI21" s="43">
        <f t="shared" si="27"/>
        <v>0</v>
      </c>
      <c r="AJ21" s="43">
        <f t="shared" si="28"/>
        <v>1</v>
      </c>
      <c r="AK21" s="43">
        <f t="shared" si="29"/>
        <v>1</v>
      </c>
      <c r="AL21" s="43">
        <f t="shared" si="30"/>
        <v>1</v>
      </c>
      <c r="AM21" s="43">
        <f t="shared" si="31"/>
        <v>1</v>
      </c>
      <c r="AN21" s="38">
        <f t="shared" si="33"/>
        <v>6</v>
      </c>
      <c r="AP21" s="42">
        <v>7</v>
      </c>
      <c r="AQ21" s="42">
        <f t="shared" si="42"/>
        <v>2</v>
      </c>
      <c r="AS21" s="40">
        <v>8</v>
      </c>
      <c r="AT21" s="40">
        <f t="shared" si="43"/>
        <v>3.2429314083522987E-14</v>
      </c>
      <c r="AU21" s="40">
        <f t="shared" si="44"/>
        <v>0.97940000000000005</v>
      </c>
      <c r="AV21" s="40">
        <f t="shared" si="41"/>
        <v>3.1761270213402413E-14</v>
      </c>
    </row>
    <row r="22" spans="2:71" x14ac:dyDescent="0.3">
      <c r="B22" s="42">
        <v>1</v>
      </c>
      <c r="C22" s="42">
        <v>1</v>
      </c>
      <c r="D22" s="42">
        <v>1</v>
      </c>
      <c r="E22" s="42">
        <v>0</v>
      </c>
      <c r="F22" s="43">
        <f t="shared" si="11"/>
        <v>1</v>
      </c>
      <c r="G22" s="43">
        <f t="shared" si="12"/>
        <v>1</v>
      </c>
      <c r="H22" s="43">
        <f t="shared" si="13"/>
        <v>1</v>
      </c>
      <c r="I22" s="43">
        <f t="shared" si="14"/>
        <v>0</v>
      </c>
      <c r="J22" s="43">
        <f t="shared" si="15"/>
        <v>0</v>
      </c>
      <c r="K22" s="43">
        <f t="shared" si="16"/>
        <v>1</v>
      </c>
      <c r="L22" s="43">
        <f t="shared" si="17"/>
        <v>0</v>
      </c>
      <c r="M22" s="43">
        <f t="shared" si="18"/>
        <v>0</v>
      </c>
      <c r="N22" s="43">
        <f t="shared" si="19"/>
        <v>1</v>
      </c>
      <c r="O22" s="38">
        <f t="shared" si="20"/>
        <v>5</v>
      </c>
      <c r="Q22" s="42">
        <v>9</v>
      </c>
      <c r="R22" s="42">
        <f t="shared" si="37"/>
        <v>0</v>
      </c>
      <c r="V22" s="39" t="s">
        <v>91</v>
      </c>
      <c r="W22" s="39">
        <f>SUM(W13:W21)</f>
        <v>3.3881672647448235E-6</v>
      </c>
      <c r="Z22" s="42">
        <v>0</v>
      </c>
      <c r="AA22" s="42">
        <v>1</v>
      </c>
      <c r="AB22" s="42">
        <v>1</v>
      </c>
      <c r="AC22" s="42">
        <v>0</v>
      </c>
      <c r="AD22" s="42">
        <v>1</v>
      </c>
      <c r="AE22" s="43">
        <f t="shared" si="23"/>
        <v>0</v>
      </c>
      <c r="AF22" s="43">
        <f t="shared" si="24"/>
        <v>1</v>
      </c>
      <c r="AG22" s="43">
        <f t="shared" si="25"/>
        <v>1</v>
      </c>
      <c r="AH22" s="43">
        <f t="shared" si="26"/>
        <v>0</v>
      </c>
      <c r="AI22" s="43">
        <f t="shared" si="27"/>
        <v>1</v>
      </c>
      <c r="AJ22" s="43">
        <f t="shared" si="28"/>
        <v>0</v>
      </c>
      <c r="AK22" s="43">
        <f t="shared" si="29"/>
        <v>0</v>
      </c>
      <c r="AL22" s="43">
        <f t="shared" si="30"/>
        <v>1</v>
      </c>
      <c r="AM22" s="43">
        <f t="shared" si="31"/>
        <v>0</v>
      </c>
      <c r="AN22" s="38">
        <f t="shared" si="33"/>
        <v>4</v>
      </c>
      <c r="AP22" s="42">
        <v>8</v>
      </c>
      <c r="AQ22" s="42">
        <f t="shared" si="42"/>
        <v>1</v>
      </c>
      <c r="AS22" s="40">
        <v>9</v>
      </c>
      <c r="AT22" s="40">
        <f t="shared" si="43"/>
        <v>6.6804387012057354E-16</v>
      </c>
      <c r="AU22" s="40">
        <f t="shared" si="44"/>
        <v>1</v>
      </c>
      <c r="AV22" s="40">
        <f t="shared" si="41"/>
        <v>0</v>
      </c>
    </row>
    <row r="23" spans="2:71" x14ac:dyDescent="0.3">
      <c r="B23" s="42">
        <v>1</v>
      </c>
      <c r="C23" s="42">
        <v>1</v>
      </c>
      <c r="D23" s="42">
        <v>1</v>
      </c>
      <c r="E23" s="42">
        <v>1</v>
      </c>
      <c r="F23" s="43">
        <f t="shared" si="11"/>
        <v>1</v>
      </c>
      <c r="G23" s="43">
        <f t="shared" si="12"/>
        <v>1</v>
      </c>
      <c r="H23" s="43">
        <f t="shared" si="13"/>
        <v>1</v>
      </c>
      <c r="I23" s="43">
        <f t="shared" si="14"/>
        <v>1</v>
      </c>
      <c r="J23" s="43">
        <f t="shared" si="15"/>
        <v>1</v>
      </c>
      <c r="K23" s="43">
        <f t="shared" si="16"/>
        <v>0</v>
      </c>
      <c r="L23" s="43">
        <f t="shared" si="17"/>
        <v>0</v>
      </c>
      <c r="M23" s="43">
        <f t="shared" si="18"/>
        <v>1</v>
      </c>
      <c r="N23" s="43">
        <f t="shared" si="19"/>
        <v>0</v>
      </c>
      <c r="O23" s="38">
        <f t="shared" si="20"/>
        <v>6</v>
      </c>
      <c r="Q23" s="41" t="s">
        <v>84</v>
      </c>
      <c r="R23" s="41">
        <f>SUM(R13:R22)</f>
        <v>16</v>
      </c>
      <c r="V23" s="39" t="s">
        <v>92</v>
      </c>
      <c r="W23" s="39">
        <f>1-W22</f>
        <v>0.99999661183273525</v>
      </c>
      <c r="Z23" s="42">
        <v>0</v>
      </c>
      <c r="AA23" s="42">
        <v>1</v>
      </c>
      <c r="AB23" s="42">
        <v>1</v>
      </c>
      <c r="AC23" s="42">
        <v>1</v>
      </c>
      <c r="AD23" s="42">
        <v>0</v>
      </c>
      <c r="AE23" s="43">
        <f t="shared" si="23"/>
        <v>0</v>
      </c>
      <c r="AF23" s="43">
        <f t="shared" si="24"/>
        <v>1</v>
      </c>
      <c r="AG23" s="43">
        <f t="shared" si="25"/>
        <v>1</v>
      </c>
      <c r="AH23" s="43">
        <f t="shared" si="26"/>
        <v>1</v>
      </c>
      <c r="AI23" s="43">
        <f t="shared" si="27"/>
        <v>1</v>
      </c>
      <c r="AJ23" s="43">
        <f t="shared" si="28"/>
        <v>0</v>
      </c>
      <c r="AK23" s="43">
        <f t="shared" si="29"/>
        <v>1</v>
      </c>
      <c r="AL23" s="43">
        <f t="shared" si="30"/>
        <v>0</v>
      </c>
      <c r="AM23" s="43">
        <f t="shared" si="31"/>
        <v>0</v>
      </c>
      <c r="AN23" s="38">
        <f t="shared" si="33"/>
        <v>5</v>
      </c>
      <c r="AP23" s="42">
        <v>9</v>
      </c>
      <c r="AQ23" s="42">
        <f t="shared" si="42"/>
        <v>0</v>
      </c>
      <c r="AU23" s="39" t="s">
        <v>91</v>
      </c>
      <c r="AV23" s="39">
        <f>SUM(AV14:AV22)</f>
        <v>7.8093783804514835E-4</v>
      </c>
    </row>
    <row r="24" spans="2:71" x14ac:dyDescent="0.3">
      <c r="Z24" s="42">
        <v>0</v>
      </c>
      <c r="AA24" s="42">
        <v>1</v>
      </c>
      <c r="AB24" s="42">
        <v>1</v>
      </c>
      <c r="AC24" s="42">
        <v>1</v>
      </c>
      <c r="AD24" s="42">
        <v>1</v>
      </c>
      <c r="AE24" s="43">
        <f t="shared" si="23"/>
        <v>0</v>
      </c>
      <c r="AF24" s="43">
        <f t="shared" si="24"/>
        <v>1</v>
      </c>
      <c r="AG24" s="43">
        <f t="shared" si="25"/>
        <v>1</v>
      </c>
      <c r="AH24" s="43">
        <f t="shared" si="26"/>
        <v>1</v>
      </c>
      <c r="AI24" s="43">
        <f t="shared" si="27"/>
        <v>0</v>
      </c>
      <c r="AJ24" s="43">
        <f t="shared" si="28"/>
        <v>1</v>
      </c>
      <c r="AK24" s="43">
        <f t="shared" si="29"/>
        <v>0</v>
      </c>
      <c r="AL24" s="43">
        <f t="shared" si="30"/>
        <v>0</v>
      </c>
      <c r="AM24" s="43">
        <f t="shared" si="31"/>
        <v>1</v>
      </c>
      <c r="AN24" s="38">
        <f t="shared" si="33"/>
        <v>5</v>
      </c>
      <c r="AP24" s="41" t="s">
        <v>84</v>
      </c>
      <c r="AQ24" s="41">
        <f>SUM(AQ14:AQ23)</f>
        <v>32</v>
      </c>
      <c r="AU24" s="39" t="s">
        <v>92</v>
      </c>
      <c r="AV24" s="39">
        <f>1-AV23</f>
        <v>0.99921906216195489</v>
      </c>
    </row>
    <row r="25" spans="2:71" x14ac:dyDescent="0.3">
      <c r="Z25" s="42">
        <v>1</v>
      </c>
      <c r="AA25" s="42">
        <v>0</v>
      </c>
      <c r="AB25" s="42">
        <v>0</v>
      </c>
      <c r="AC25" s="42">
        <v>0</v>
      </c>
      <c r="AD25" s="42">
        <v>0</v>
      </c>
      <c r="AE25" s="43">
        <f t="shared" si="23"/>
        <v>1</v>
      </c>
      <c r="AF25" s="43">
        <f t="shared" si="24"/>
        <v>0</v>
      </c>
      <c r="AG25" s="43">
        <f t="shared" si="25"/>
        <v>0</v>
      </c>
      <c r="AH25" s="43">
        <f t="shared" si="26"/>
        <v>0</v>
      </c>
      <c r="AI25" s="43">
        <f t="shared" si="27"/>
        <v>0</v>
      </c>
      <c r="AJ25" s="43">
        <f t="shared" si="28"/>
        <v>0</v>
      </c>
      <c r="AK25" s="43">
        <f t="shared" si="29"/>
        <v>1</v>
      </c>
      <c r="AL25" s="43">
        <f t="shared" si="30"/>
        <v>1</v>
      </c>
      <c r="AM25" s="43">
        <f t="shared" si="31"/>
        <v>0</v>
      </c>
      <c r="AN25" s="38">
        <f t="shared" si="33"/>
        <v>3</v>
      </c>
    </row>
    <row r="26" spans="2:71" x14ac:dyDescent="0.3">
      <c r="Z26" s="42">
        <v>1</v>
      </c>
      <c r="AA26" s="42">
        <v>0</v>
      </c>
      <c r="AB26" s="42">
        <v>0</v>
      </c>
      <c r="AC26" s="42">
        <v>0</v>
      </c>
      <c r="AD26" s="42">
        <v>1</v>
      </c>
      <c r="AE26" s="43">
        <f t="shared" si="23"/>
        <v>1</v>
      </c>
      <c r="AF26" s="43">
        <f t="shared" si="24"/>
        <v>0</v>
      </c>
      <c r="AG26" s="43">
        <f t="shared" si="25"/>
        <v>0</v>
      </c>
      <c r="AH26" s="43">
        <f t="shared" si="26"/>
        <v>0</v>
      </c>
      <c r="AI26" s="43">
        <f t="shared" si="27"/>
        <v>1</v>
      </c>
      <c r="AJ26" s="43">
        <f t="shared" si="28"/>
        <v>1</v>
      </c>
      <c r="AK26" s="43">
        <f t="shared" si="29"/>
        <v>0</v>
      </c>
      <c r="AL26" s="43">
        <f t="shared" si="30"/>
        <v>1</v>
      </c>
      <c r="AM26" s="43">
        <f t="shared" si="31"/>
        <v>1</v>
      </c>
      <c r="AN26" s="38">
        <f t="shared" si="33"/>
        <v>5</v>
      </c>
    </row>
    <row r="27" spans="2:71" x14ac:dyDescent="0.3">
      <c r="Z27" s="42">
        <v>1</v>
      </c>
      <c r="AA27" s="42">
        <v>0</v>
      </c>
      <c r="AB27" s="42">
        <v>0</v>
      </c>
      <c r="AC27" s="42">
        <v>1</v>
      </c>
      <c r="AD27" s="42">
        <v>0</v>
      </c>
      <c r="AE27" s="43">
        <f t="shared" si="23"/>
        <v>1</v>
      </c>
      <c r="AF27" s="43">
        <f t="shared" si="24"/>
        <v>0</v>
      </c>
      <c r="AG27" s="43">
        <f t="shared" si="25"/>
        <v>0</v>
      </c>
      <c r="AH27" s="43">
        <f t="shared" si="26"/>
        <v>1</v>
      </c>
      <c r="AI27" s="43">
        <f t="shared" si="27"/>
        <v>1</v>
      </c>
      <c r="AJ27" s="43">
        <f t="shared" si="28"/>
        <v>1</v>
      </c>
      <c r="AK27" s="43">
        <f t="shared" si="29"/>
        <v>1</v>
      </c>
      <c r="AL27" s="43">
        <f t="shared" si="30"/>
        <v>0</v>
      </c>
      <c r="AM27" s="43">
        <f t="shared" si="31"/>
        <v>1</v>
      </c>
      <c r="AN27" s="38">
        <f t="shared" si="33"/>
        <v>6</v>
      </c>
    </row>
    <row r="28" spans="2:71" x14ac:dyDescent="0.3">
      <c r="Z28" s="42">
        <v>1</v>
      </c>
      <c r="AA28" s="42">
        <v>0</v>
      </c>
      <c r="AB28" s="42">
        <v>0</v>
      </c>
      <c r="AC28" s="42">
        <v>1</v>
      </c>
      <c r="AD28" s="42">
        <v>1</v>
      </c>
      <c r="AE28" s="43">
        <f t="shared" si="23"/>
        <v>1</v>
      </c>
      <c r="AF28" s="43">
        <f t="shared" si="24"/>
        <v>0</v>
      </c>
      <c r="AG28" s="43">
        <f t="shared" si="25"/>
        <v>0</v>
      </c>
      <c r="AH28" s="43">
        <f t="shared" si="26"/>
        <v>1</v>
      </c>
      <c r="AI28" s="43">
        <f t="shared" si="27"/>
        <v>0</v>
      </c>
      <c r="AJ28" s="43">
        <f t="shared" si="28"/>
        <v>0</v>
      </c>
      <c r="AK28" s="43">
        <f t="shared" si="29"/>
        <v>0</v>
      </c>
      <c r="AL28" s="43">
        <f t="shared" si="30"/>
        <v>0</v>
      </c>
      <c r="AM28" s="43">
        <f t="shared" si="31"/>
        <v>0</v>
      </c>
      <c r="AN28" s="38">
        <f t="shared" si="33"/>
        <v>2</v>
      </c>
    </row>
    <row r="29" spans="2:71" x14ac:dyDescent="0.3">
      <c r="Z29" s="42">
        <v>1</v>
      </c>
      <c r="AA29" s="42">
        <v>0</v>
      </c>
      <c r="AB29" s="42">
        <v>1</v>
      </c>
      <c r="AC29" s="42">
        <v>0</v>
      </c>
      <c r="AD29" s="42">
        <v>0</v>
      </c>
      <c r="AE29" s="43">
        <f t="shared" si="23"/>
        <v>1</v>
      </c>
      <c r="AF29" s="43">
        <f t="shared" si="24"/>
        <v>0</v>
      </c>
      <c r="AG29" s="43">
        <f t="shared" si="25"/>
        <v>1</v>
      </c>
      <c r="AH29" s="43">
        <f t="shared" si="26"/>
        <v>0</v>
      </c>
      <c r="AI29" s="43">
        <f t="shared" si="27"/>
        <v>1</v>
      </c>
      <c r="AJ29" s="43">
        <f t="shared" si="28"/>
        <v>0</v>
      </c>
      <c r="AK29" s="43">
        <f t="shared" si="29"/>
        <v>0</v>
      </c>
      <c r="AL29" s="43">
        <f t="shared" si="30"/>
        <v>0</v>
      </c>
      <c r="AM29" s="43">
        <f t="shared" si="31"/>
        <v>0</v>
      </c>
      <c r="AN29" s="38">
        <f t="shared" si="33"/>
        <v>3</v>
      </c>
    </row>
    <row r="30" spans="2:71" x14ac:dyDescent="0.3">
      <c r="Z30" s="42">
        <v>1</v>
      </c>
      <c r="AA30" s="42">
        <v>0</v>
      </c>
      <c r="AB30" s="42">
        <v>1</v>
      </c>
      <c r="AC30" s="42">
        <v>0</v>
      </c>
      <c r="AD30" s="42">
        <v>1</v>
      </c>
      <c r="AE30" s="43">
        <f t="shared" si="23"/>
        <v>1</v>
      </c>
      <c r="AF30" s="43">
        <f t="shared" si="24"/>
        <v>0</v>
      </c>
      <c r="AG30" s="43">
        <f t="shared" si="25"/>
        <v>1</v>
      </c>
      <c r="AH30" s="43">
        <f t="shared" si="26"/>
        <v>0</v>
      </c>
      <c r="AI30" s="43">
        <f t="shared" si="27"/>
        <v>0</v>
      </c>
      <c r="AJ30" s="43">
        <f t="shared" si="28"/>
        <v>1</v>
      </c>
      <c r="AK30" s="43">
        <f t="shared" si="29"/>
        <v>1</v>
      </c>
      <c r="AL30" s="43">
        <f t="shared" si="30"/>
        <v>0</v>
      </c>
      <c r="AM30" s="43">
        <f t="shared" si="31"/>
        <v>1</v>
      </c>
      <c r="AN30" s="38">
        <f t="shared" si="33"/>
        <v>5</v>
      </c>
    </row>
    <row r="31" spans="2:71" x14ac:dyDescent="0.3">
      <c r="Z31" s="42">
        <v>1</v>
      </c>
      <c r="AA31" s="42">
        <v>0</v>
      </c>
      <c r="AB31" s="42">
        <v>1</v>
      </c>
      <c r="AC31" s="42">
        <v>1</v>
      </c>
      <c r="AD31" s="42">
        <v>0</v>
      </c>
      <c r="AE31" s="43">
        <f t="shared" si="23"/>
        <v>1</v>
      </c>
      <c r="AF31" s="43">
        <f t="shared" si="24"/>
        <v>0</v>
      </c>
      <c r="AG31" s="43">
        <f t="shared" si="25"/>
        <v>1</v>
      </c>
      <c r="AH31" s="43">
        <f t="shared" si="26"/>
        <v>1</v>
      </c>
      <c r="AI31" s="43">
        <f t="shared" si="27"/>
        <v>0</v>
      </c>
      <c r="AJ31" s="43">
        <f t="shared" si="28"/>
        <v>1</v>
      </c>
      <c r="AK31" s="43">
        <f t="shared" si="29"/>
        <v>0</v>
      </c>
      <c r="AL31" s="43">
        <f t="shared" si="30"/>
        <v>1</v>
      </c>
      <c r="AM31" s="43">
        <f t="shared" si="31"/>
        <v>1</v>
      </c>
      <c r="AN31" s="38">
        <f t="shared" si="33"/>
        <v>6</v>
      </c>
    </row>
    <row r="32" spans="2:71" x14ac:dyDescent="0.3">
      <c r="Z32" s="42">
        <v>1</v>
      </c>
      <c r="AA32" s="42">
        <v>0</v>
      </c>
      <c r="AB32" s="42">
        <v>1</v>
      </c>
      <c r="AC32" s="42">
        <v>1</v>
      </c>
      <c r="AD32" s="42">
        <v>1</v>
      </c>
      <c r="AE32" s="43">
        <f t="shared" si="23"/>
        <v>1</v>
      </c>
      <c r="AF32" s="43">
        <f t="shared" si="24"/>
        <v>0</v>
      </c>
      <c r="AG32" s="43">
        <f t="shared" si="25"/>
        <v>1</v>
      </c>
      <c r="AH32" s="43">
        <f t="shared" si="26"/>
        <v>1</v>
      </c>
      <c r="AI32" s="43">
        <f t="shared" si="27"/>
        <v>1</v>
      </c>
      <c r="AJ32" s="43">
        <f t="shared" si="28"/>
        <v>0</v>
      </c>
      <c r="AK32" s="43">
        <f t="shared" si="29"/>
        <v>1</v>
      </c>
      <c r="AL32" s="43">
        <f t="shared" si="30"/>
        <v>1</v>
      </c>
      <c r="AM32" s="43">
        <f t="shared" si="31"/>
        <v>0</v>
      </c>
      <c r="AN32" s="38">
        <f t="shared" si="33"/>
        <v>6</v>
      </c>
    </row>
    <row r="33" spans="26:40" x14ac:dyDescent="0.3">
      <c r="Z33" s="42">
        <v>1</v>
      </c>
      <c r="AA33" s="42">
        <v>1</v>
      </c>
      <c r="AB33" s="42">
        <v>0</v>
      </c>
      <c r="AC33" s="42">
        <v>0</v>
      </c>
      <c r="AD33" s="42">
        <v>0</v>
      </c>
      <c r="AE33" s="43">
        <f t="shared" si="23"/>
        <v>1</v>
      </c>
      <c r="AF33" s="43">
        <f t="shared" si="24"/>
        <v>1</v>
      </c>
      <c r="AG33" s="43">
        <f t="shared" si="25"/>
        <v>0</v>
      </c>
      <c r="AH33" s="43">
        <f t="shared" si="26"/>
        <v>0</v>
      </c>
      <c r="AI33" s="43">
        <f t="shared" si="27"/>
        <v>1</v>
      </c>
      <c r="AJ33" s="43">
        <f t="shared" si="28"/>
        <v>1</v>
      </c>
      <c r="AK33" s="43">
        <f t="shared" si="29"/>
        <v>1</v>
      </c>
      <c r="AL33" s="43">
        <f t="shared" si="30"/>
        <v>1</v>
      </c>
      <c r="AM33" s="43">
        <f t="shared" si="31"/>
        <v>1</v>
      </c>
      <c r="AN33" s="38">
        <f t="shared" si="33"/>
        <v>7</v>
      </c>
    </row>
    <row r="34" spans="26:40" x14ac:dyDescent="0.3">
      <c r="Z34" s="42">
        <v>1</v>
      </c>
      <c r="AA34" s="42">
        <v>1</v>
      </c>
      <c r="AB34" s="42">
        <v>0</v>
      </c>
      <c r="AC34" s="42">
        <v>0</v>
      </c>
      <c r="AD34" s="42">
        <v>1</v>
      </c>
      <c r="AE34" s="43">
        <f t="shared" si="23"/>
        <v>1</v>
      </c>
      <c r="AF34" s="43">
        <f t="shared" si="24"/>
        <v>1</v>
      </c>
      <c r="AG34" s="43">
        <f t="shared" si="25"/>
        <v>0</v>
      </c>
      <c r="AH34" s="43">
        <f t="shared" si="26"/>
        <v>0</v>
      </c>
      <c r="AI34" s="43">
        <f t="shared" si="27"/>
        <v>0</v>
      </c>
      <c r="AJ34" s="43">
        <f t="shared" si="28"/>
        <v>0</v>
      </c>
      <c r="AK34" s="43">
        <f>MOD(SUM(AG$2*$Z34,AG$3*$AA34,AG$4*$AB34,AG$5*$AC34,AG$6*$AD34),2)</f>
        <v>0</v>
      </c>
      <c r="AL34" s="43">
        <f t="shared" si="30"/>
        <v>1</v>
      </c>
      <c r="AM34" s="43">
        <f t="shared" si="31"/>
        <v>0</v>
      </c>
      <c r="AN34" s="38">
        <f t="shared" si="33"/>
        <v>3</v>
      </c>
    </row>
    <row r="35" spans="26:40" x14ac:dyDescent="0.3">
      <c r="Z35" s="42">
        <v>1</v>
      </c>
      <c r="AA35" s="42">
        <v>1</v>
      </c>
      <c r="AB35" s="42">
        <v>0</v>
      </c>
      <c r="AC35" s="42">
        <v>1</v>
      </c>
      <c r="AD35" s="42">
        <v>0</v>
      </c>
      <c r="AE35" s="43">
        <f t="shared" si="23"/>
        <v>1</v>
      </c>
      <c r="AF35" s="43">
        <f t="shared" si="24"/>
        <v>1</v>
      </c>
      <c r="AG35" s="43">
        <f t="shared" si="25"/>
        <v>0</v>
      </c>
      <c r="AH35" s="43">
        <f t="shared" si="26"/>
        <v>1</v>
      </c>
      <c r="AI35" s="43">
        <f t="shared" si="27"/>
        <v>0</v>
      </c>
      <c r="AJ35" s="43">
        <f t="shared" si="28"/>
        <v>0</v>
      </c>
      <c r="AK35" s="43">
        <f t="shared" si="29"/>
        <v>1</v>
      </c>
      <c r="AL35" s="43">
        <f t="shared" si="30"/>
        <v>0</v>
      </c>
      <c r="AM35" s="43">
        <f t="shared" si="31"/>
        <v>0</v>
      </c>
      <c r="AN35" s="38">
        <f t="shared" si="33"/>
        <v>4</v>
      </c>
    </row>
    <row r="36" spans="26:40" x14ac:dyDescent="0.3">
      <c r="Z36" s="42">
        <v>1</v>
      </c>
      <c r="AA36" s="42">
        <v>1</v>
      </c>
      <c r="AB36" s="42">
        <v>0</v>
      </c>
      <c r="AC36" s="42">
        <v>1</v>
      </c>
      <c r="AD36" s="42">
        <v>1</v>
      </c>
      <c r="AE36" s="43">
        <f t="shared" si="23"/>
        <v>1</v>
      </c>
      <c r="AF36" s="43">
        <f t="shared" si="24"/>
        <v>1</v>
      </c>
      <c r="AG36" s="43">
        <f t="shared" si="25"/>
        <v>0</v>
      </c>
      <c r="AH36" s="43">
        <f t="shared" si="26"/>
        <v>1</v>
      </c>
      <c r="AI36" s="43">
        <f t="shared" si="27"/>
        <v>1</v>
      </c>
      <c r="AJ36" s="43">
        <f t="shared" si="28"/>
        <v>1</v>
      </c>
      <c r="AK36" s="43">
        <f t="shared" si="29"/>
        <v>0</v>
      </c>
      <c r="AL36" s="43">
        <f t="shared" si="30"/>
        <v>0</v>
      </c>
      <c r="AM36" s="43">
        <f t="shared" si="31"/>
        <v>1</v>
      </c>
      <c r="AN36" s="38">
        <f t="shared" si="33"/>
        <v>6</v>
      </c>
    </row>
    <row r="37" spans="26:40" x14ac:dyDescent="0.3">
      <c r="Z37" s="42">
        <v>1</v>
      </c>
      <c r="AA37" s="42">
        <v>1</v>
      </c>
      <c r="AB37" s="42">
        <v>1</v>
      </c>
      <c r="AC37" s="42">
        <v>0</v>
      </c>
      <c r="AD37" s="42">
        <v>0</v>
      </c>
      <c r="AE37" s="43">
        <f t="shared" si="23"/>
        <v>1</v>
      </c>
      <c r="AF37" s="43">
        <f t="shared" si="24"/>
        <v>1</v>
      </c>
      <c r="AG37" s="43">
        <f t="shared" si="25"/>
        <v>1</v>
      </c>
      <c r="AH37" s="43">
        <f t="shared" si="26"/>
        <v>0</v>
      </c>
      <c r="AI37" s="43">
        <f t="shared" si="27"/>
        <v>0</v>
      </c>
      <c r="AJ37" s="43">
        <f t="shared" si="28"/>
        <v>1</v>
      </c>
      <c r="AK37" s="43">
        <f t="shared" si="29"/>
        <v>0</v>
      </c>
      <c r="AL37" s="43">
        <f t="shared" si="30"/>
        <v>0</v>
      </c>
      <c r="AM37" s="43">
        <f t="shared" si="31"/>
        <v>1</v>
      </c>
      <c r="AN37" s="38">
        <f t="shared" si="33"/>
        <v>5</v>
      </c>
    </row>
    <row r="38" spans="26:40" x14ac:dyDescent="0.3">
      <c r="Z38" s="42">
        <v>1</v>
      </c>
      <c r="AA38" s="42">
        <v>1</v>
      </c>
      <c r="AB38" s="42">
        <v>1</v>
      </c>
      <c r="AC38" s="42">
        <v>0</v>
      </c>
      <c r="AD38" s="42">
        <v>1</v>
      </c>
      <c r="AE38" s="43">
        <f t="shared" si="23"/>
        <v>1</v>
      </c>
      <c r="AF38" s="43">
        <f t="shared" si="24"/>
        <v>1</v>
      </c>
      <c r="AG38" s="43">
        <f t="shared" si="25"/>
        <v>1</v>
      </c>
      <c r="AH38" s="43">
        <f t="shared" si="26"/>
        <v>0</v>
      </c>
      <c r="AI38" s="43">
        <f t="shared" si="27"/>
        <v>1</v>
      </c>
      <c r="AJ38" s="43">
        <f t="shared" si="28"/>
        <v>0</v>
      </c>
      <c r="AK38" s="43">
        <f t="shared" si="29"/>
        <v>1</v>
      </c>
      <c r="AL38" s="43">
        <f t="shared" si="30"/>
        <v>0</v>
      </c>
      <c r="AM38" s="43">
        <f t="shared" si="31"/>
        <v>0</v>
      </c>
      <c r="AN38" s="38">
        <f t="shared" si="33"/>
        <v>5</v>
      </c>
    </row>
    <row r="39" spans="26:40" x14ac:dyDescent="0.3">
      <c r="Z39" s="42">
        <v>1</v>
      </c>
      <c r="AA39" s="42">
        <v>1</v>
      </c>
      <c r="AB39" s="42">
        <v>1</v>
      </c>
      <c r="AC39" s="42">
        <v>1</v>
      </c>
      <c r="AD39" s="42">
        <v>0</v>
      </c>
      <c r="AE39" s="43">
        <f t="shared" si="23"/>
        <v>1</v>
      </c>
      <c r="AF39" s="43">
        <f t="shared" si="24"/>
        <v>1</v>
      </c>
      <c r="AG39" s="43">
        <f t="shared" si="25"/>
        <v>1</v>
      </c>
      <c r="AH39" s="43">
        <f t="shared" si="26"/>
        <v>1</v>
      </c>
      <c r="AI39" s="43">
        <f t="shared" si="27"/>
        <v>1</v>
      </c>
      <c r="AJ39" s="43">
        <f t="shared" si="28"/>
        <v>0</v>
      </c>
      <c r="AK39" s="43">
        <f t="shared" si="29"/>
        <v>0</v>
      </c>
      <c r="AL39" s="43">
        <f t="shared" si="30"/>
        <v>1</v>
      </c>
      <c r="AM39" s="43">
        <f t="shared" si="31"/>
        <v>0</v>
      </c>
      <c r="AN39" s="38">
        <f t="shared" si="33"/>
        <v>6</v>
      </c>
    </row>
    <row r="40" spans="26:40" x14ac:dyDescent="0.3">
      <c r="Z40" s="42">
        <v>1</v>
      </c>
      <c r="AA40" s="42">
        <v>1</v>
      </c>
      <c r="AB40" s="42">
        <v>1</v>
      </c>
      <c r="AC40" s="42">
        <v>1</v>
      </c>
      <c r="AD40" s="42">
        <v>1</v>
      </c>
      <c r="AE40" s="43">
        <f t="shared" si="23"/>
        <v>1</v>
      </c>
      <c r="AF40" s="43">
        <f t="shared" si="24"/>
        <v>1</v>
      </c>
      <c r="AG40" s="43">
        <f t="shared" si="25"/>
        <v>1</v>
      </c>
      <c r="AH40" s="43">
        <f t="shared" si="26"/>
        <v>1</v>
      </c>
      <c r="AI40" s="43">
        <f t="shared" si="27"/>
        <v>0</v>
      </c>
      <c r="AJ40" s="43">
        <f t="shared" si="28"/>
        <v>1</v>
      </c>
      <c r="AK40" s="43">
        <f t="shared" si="29"/>
        <v>1</v>
      </c>
      <c r="AL40" s="43">
        <f t="shared" si="30"/>
        <v>1</v>
      </c>
      <c r="AM40" s="43">
        <f t="shared" si="31"/>
        <v>1</v>
      </c>
      <c r="AN40" s="38">
        <f t="shared" si="33"/>
        <v>8</v>
      </c>
    </row>
  </sheetData>
  <mergeCells count="6">
    <mergeCell ref="BM8:BN8"/>
    <mergeCell ref="B7:N7"/>
    <mergeCell ref="Q11:R11"/>
    <mergeCell ref="Z8:AM8"/>
    <mergeCell ref="AP12:AQ12"/>
    <mergeCell ref="AY6:B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09E9-CD62-49C5-AEEC-987B5987E74F}">
  <dimension ref="B2:G5"/>
  <sheetViews>
    <sheetView workbookViewId="0">
      <selection activeCell="M17" sqref="M17"/>
    </sheetView>
  </sheetViews>
  <sheetFormatPr defaultRowHeight="14.4" x14ac:dyDescent="0.3"/>
  <cols>
    <col min="1" max="1" width="8.88671875" style="37"/>
    <col min="2" max="2" width="15.33203125" style="37" customWidth="1"/>
    <col min="3" max="16384" width="8.88671875" style="37"/>
  </cols>
  <sheetData>
    <row r="2" spans="2:7" ht="28.8" x14ac:dyDescent="0.3">
      <c r="B2" s="44" t="s">
        <v>102</v>
      </c>
      <c r="C2" s="45" t="s">
        <v>95</v>
      </c>
      <c r="D2" s="45" t="s">
        <v>96</v>
      </c>
      <c r="E2" s="45" t="s">
        <v>97</v>
      </c>
      <c r="F2" s="45" t="s">
        <v>6</v>
      </c>
      <c r="G2" s="45" t="s">
        <v>101</v>
      </c>
    </row>
    <row r="3" spans="2:7" x14ac:dyDescent="0.3">
      <c r="B3" s="37">
        <v>1</v>
      </c>
      <c r="C3" s="37">
        <v>128</v>
      </c>
      <c r="D3" s="37">
        <v>9</v>
      </c>
      <c r="E3" s="37">
        <v>1548</v>
      </c>
      <c r="F3" s="37">
        <v>19144</v>
      </c>
      <c r="G3" s="37">
        <f>1-(E3*F3)/(C3^D3)</f>
        <v>0.99999999999678701</v>
      </c>
    </row>
    <row r="4" spans="2:7" x14ac:dyDescent="0.3">
      <c r="B4" s="37">
        <v>2</v>
      </c>
      <c r="C4" s="37">
        <v>64</v>
      </c>
      <c r="D4" s="37">
        <v>7</v>
      </c>
      <c r="E4" s="37">
        <v>2950</v>
      </c>
      <c r="F4" s="37">
        <v>19144</v>
      </c>
      <c r="G4" s="37">
        <f t="shared" ref="G4:G5" si="0">1-(E4*F4)/C4^D4</f>
        <v>0.99998715911715408</v>
      </c>
    </row>
    <row r="5" spans="2:7" x14ac:dyDescent="0.3">
      <c r="B5" s="37">
        <v>3</v>
      </c>
      <c r="C5" s="37">
        <v>68</v>
      </c>
      <c r="D5" s="37">
        <v>11</v>
      </c>
      <c r="E5" s="37">
        <v>1575</v>
      </c>
      <c r="F5" s="37">
        <v>19144</v>
      </c>
      <c r="G5" s="37">
        <f t="shared" si="0"/>
        <v>0.99999999999979028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DF94-DC40-4125-A25A-C40B276EC7CF}">
  <dimension ref="B2:W23"/>
  <sheetViews>
    <sheetView zoomScale="118" zoomScaleNormal="205" workbookViewId="0">
      <selection activeCell="C20" sqref="C20"/>
    </sheetView>
  </sheetViews>
  <sheetFormatPr defaultRowHeight="14.4" x14ac:dyDescent="0.3"/>
  <cols>
    <col min="1" max="1" width="8.88671875" style="37"/>
    <col min="2" max="2" width="20.33203125" style="37" bestFit="1" customWidth="1"/>
    <col min="3" max="9" width="8.88671875" style="37"/>
    <col min="10" max="10" width="8.88671875" style="37" customWidth="1"/>
    <col min="11" max="17" width="8.88671875" style="37"/>
    <col min="18" max="18" width="8.88671875" style="37" customWidth="1"/>
    <col min="19" max="16384" width="8.88671875" style="37"/>
  </cols>
  <sheetData>
    <row r="2" spans="2:23" x14ac:dyDescent="0.3">
      <c r="B2" s="55" t="s">
        <v>103</v>
      </c>
      <c r="C2" s="55">
        <v>900</v>
      </c>
      <c r="E2" s="57" t="s">
        <v>85</v>
      </c>
      <c r="F2" s="57" t="s">
        <v>108</v>
      </c>
      <c r="G2" s="57" t="s">
        <v>109</v>
      </c>
    </row>
    <row r="3" spans="2:23" x14ac:dyDescent="0.3">
      <c r="B3" s="55" t="s">
        <v>104</v>
      </c>
      <c r="C3" s="55">
        <v>20</v>
      </c>
      <c r="E3" s="37">
        <v>0</v>
      </c>
      <c r="F3" s="56">
        <f>C3</f>
        <v>20</v>
      </c>
      <c r="G3" s="56">
        <f>$C$2-F3</f>
        <v>880</v>
      </c>
    </row>
    <row r="4" spans="2:23" x14ac:dyDescent="0.3">
      <c r="B4" s="55" t="s">
        <v>105</v>
      </c>
      <c r="C4" s="55">
        <v>4</v>
      </c>
      <c r="E4" s="37">
        <v>1</v>
      </c>
      <c r="F4" s="56">
        <f t="shared" ref="F4:F12" si="0">IF(F3+(F3*$C$4*$C$5*G3/$C$2)&gt;$C$2,$C$2,F3+(F3*$C$4*$C$5*G3/$C$2))</f>
        <v>35.644444444444446</v>
      </c>
      <c r="G4" s="56">
        <f t="shared" ref="G4:G13" si="1">$C$2-F4</f>
        <v>864.35555555555561</v>
      </c>
    </row>
    <row r="5" spans="2:23" x14ac:dyDescent="0.3">
      <c r="B5" s="55" t="s">
        <v>106</v>
      </c>
      <c r="C5" s="55">
        <v>0.2</v>
      </c>
      <c r="E5" s="37">
        <v>2</v>
      </c>
      <c r="F5" s="56">
        <f t="shared" si="0"/>
        <v>63.030643182441707</v>
      </c>
      <c r="G5" s="56">
        <f t="shared" si="1"/>
        <v>836.96935681755826</v>
      </c>
    </row>
    <row r="6" spans="2:23" x14ac:dyDescent="0.3">
      <c r="B6" s="58" t="s">
        <v>107</v>
      </c>
      <c r="C6" s="58">
        <f>G7/C2</f>
        <v>0.79208659995109876</v>
      </c>
      <c r="E6" s="37">
        <v>3</v>
      </c>
      <c r="F6" s="56">
        <f t="shared" si="0"/>
        <v>109.92372485729082</v>
      </c>
      <c r="G6" s="56">
        <f t="shared" si="1"/>
        <v>790.07627514270916</v>
      </c>
    </row>
    <row r="7" spans="2:23" x14ac:dyDescent="0.3">
      <c r="E7" s="37">
        <v>4</v>
      </c>
      <c r="F7" s="56">
        <f t="shared" si="0"/>
        <v>187.12206004401116</v>
      </c>
      <c r="G7" s="56">
        <f t="shared" si="1"/>
        <v>712.87793995598884</v>
      </c>
    </row>
    <row r="8" spans="2:23" x14ac:dyDescent="0.3">
      <c r="F8" s="56"/>
      <c r="G8" s="56"/>
      <c r="N8" s="56"/>
      <c r="O8" s="56"/>
      <c r="V8" s="56"/>
      <c r="W8" s="56"/>
    </row>
    <row r="9" spans="2:23" x14ac:dyDescent="0.3">
      <c r="F9" s="56"/>
      <c r="G9" s="56"/>
      <c r="N9" s="56"/>
      <c r="O9" s="56"/>
      <c r="V9" s="56"/>
      <c r="W9" s="56"/>
    </row>
    <row r="10" spans="2:23" x14ac:dyDescent="0.3">
      <c r="B10" s="55" t="s">
        <v>103</v>
      </c>
      <c r="C10" s="55">
        <v>680</v>
      </c>
      <c r="E10" s="57" t="s">
        <v>85</v>
      </c>
      <c r="F10" s="57" t="s">
        <v>108</v>
      </c>
      <c r="G10" s="57" t="s">
        <v>109</v>
      </c>
      <c r="N10" s="56"/>
      <c r="O10" s="56"/>
      <c r="V10" s="56"/>
      <c r="W10" s="56"/>
    </row>
    <row r="11" spans="2:23" x14ac:dyDescent="0.3">
      <c r="B11" s="55" t="s">
        <v>104</v>
      </c>
      <c r="C11" s="55">
        <v>2</v>
      </c>
      <c r="E11" s="37">
        <v>0</v>
      </c>
      <c r="F11" s="56">
        <f>C11</f>
        <v>2</v>
      </c>
      <c r="G11" s="56">
        <f>$C$10-F11</f>
        <v>678</v>
      </c>
      <c r="N11" s="56"/>
      <c r="O11" s="56"/>
      <c r="V11" s="56"/>
      <c r="W11" s="56"/>
    </row>
    <row r="12" spans="2:23" x14ac:dyDescent="0.3">
      <c r="B12" s="55" t="s">
        <v>105</v>
      </c>
      <c r="C12" s="55">
        <v>7</v>
      </c>
      <c r="E12" s="37">
        <v>1</v>
      </c>
      <c r="F12" s="56">
        <f>IF(F11+(F11*$C$12*$C$13*G11/$C$10)&gt;$C$10,$C$10,F11+(F11*$C$12*$C$13*G11/$C$10))</f>
        <v>4.3730000000000011</v>
      </c>
      <c r="G12" s="56">
        <f>$C$10-F12</f>
        <v>675.62699999999995</v>
      </c>
      <c r="N12" s="56"/>
      <c r="O12" s="56"/>
      <c r="V12" s="56"/>
      <c r="W12" s="56"/>
    </row>
    <row r="13" spans="2:23" x14ac:dyDescent="0.3">
      <c r="B13" s="55" t="s">
        <v>106</v>
      </c>
      <c r="C13" s="55">
        <v>0.17</v>
      </c>
      <c r="E13" s="37">
        <v>2</v>
      </c>
      <c r="F13" s="56">
        <f>IF(F12+(F12*$C$12*$C$13*G12/$C$10)&gt;$C$10,$C$10,F12+(F12*$C$12*$C$13*G12/$C$10))</f>
        <v>9.5434045242500023</v>
      </c>
      <c r="G13" s="56">
        <f>$C$10-F13</f>
        <v>670.45659547574996</v>
      </c>
      <c r="N13" s="56"/>
      <c r="O13" s="56"/>
      <c r="V13" s="56"/>
      <c r="W13" s="56"/>
    </row>
    <row r="14" spans="2:23" x14ac:dyDescent="0.3">
      <c r="B14" s="58" t="s">
        <v>110</v>
      </c>
      <c r="C14" s="58">
        <f>G15/C10</f>
        <v>0.93430990527975</v>
      </c>
      <c r="E14" s="37">
        <v>3</v>
      </c>
      <c r="F14" s="56">
        <f>IF(F13+(F13*$C$12*$C$13*G13/$C$10)&gt;$C$10,$C$10,F13+(F13*$C$12*$C$13*G13/$C$10))</f>
        <v>20.740671910758923</v>
      </c>
      <c r="G14" s="56">
        <f>$C$10-F14</f>
        <v>659.25932808924108</v>
      </c>
    </row>
    <row r="15" spans="2:23" x14ac:dyDescent="0.3">
      <c r="E15" s="37">
        <v>4</v>
      </c>
      <c r="F15" s="56">
        <f>IF(F14+(F14*$C$12*$C$13*G14/$C$10)&gt;$C$10,$C$10,F14+(F14*$C$12*$C$13*G14/$C$10))</f>
        <v>44.669264409769994</v>
      </c>
      <c r="G15" s="56">
        <f>$C$10-F15</f>
        <v>635.33073559023001</v>
      </c>
    </row>
    <row r="18" spans="2:7" x14ac:dyDescent="0.3">
      <c r="B18" s="55" t="s">
        <v>103</v>
      </c>
      <c r="C18" s="55">
        <v>460</v>
      </c>
      <c r="E18" s="57" t="s">
        <v>85</v>
      </c>
      <c r="F18" s="57" t="s">
        <v>108</v>
      </c>
      <c r="G18" s="57" t="s">
        <v>109</v>
      </c>
    </row>
    <row r="19" spans="2:7" x14ac:dyDescent="0.3">
      <c r="B19" s="55" t="s">
        <v>104</v>
      </c>
      <c r="C19" s="55">
        <v>10</v>
      </c>
      <c r="E19" s="37">
        <v>0</v>
      </c>
      <c r="F19" s="56">
        <f>C19</f>
        <v>10</v>
      </c>
      <c r="G19" s="56">
        <f>$C$18-F19</f>
        <v>450</v>
      </c>
    </row>
    <row r="20" spans="2:7" x14ac:dyDescent="0.3">
      <c r="B20" s="55" t="s">
        <v>105</v>
      </c>
      <c r="C20" s="55">
        <v>5</v>
      </c>
      <c r="E20" s="37">
        <v>1</v>
      </c>
      <c r="F20" s="56">
        <f>IF(F19+(F19*$C$20*$C$21*G19/$C$18)&gt;$C$18,$C$18,F19+(F19*$C$20*$C$21*G19/$C$18))</f>
        <v>23.695652173913047</v>
      </c>
      <c r="G20" s="56">
        <f>$C$18-F20</f>
        <v>436.30434782608694</v>
      </c>
    </row>
    <row r="21" spans="2:7" x14ac:dyDescent="0.3">
      <c r="B21" s="55" t="s">
        <v>106</v>
      </c>
      <c r="C21" s="55">
        <v>0.28000000000000003</v>
      </c>
      <c r="E21" s="37">
        <v>2</v>
      </c>
      <c r="F21" s="56">
        <f>IF(F20+(F20*$C$20*$C$21*G20/$C$18)&gt;$C$18,$C$18,F20+(F20*$C$20*$C$21*G20/$C$18))</f>
        <v>55.160701076682841</v>
      </c>
      <c r="G21" s="56">
        <f>$C$18-F21</f>
        <v>404.83929892331719</v>
      </c>
    </row>
    <row r="22" spans="2:7" x14ac:dyDescent="0.3">
      <c r="B22" s="58" t="s">
        <v>111</v>
      </c>
      <c r="C22" s="58">
        <f>G23/C18</f>
        <v>0.45790858942439516</v>
      </c>
      <c r="E22" s="37">
        <v>3</v>
      </c>
      <c r="F22" s="56">
        <f>IF(F21+(F21*$C$20*$C$21*G21/$C$18)&gt;$C$18,$C$18,F21+(F21*$C$20*$C$21*G21/$C$18))</f>
        <v>123.12528232190921</v>
      </c>
      <c r="G22" s="56">
        <f>$C$18-F22</f>
        <v>336.8747176780908</v>
      </c>
    </row>
    <row r="23" spans="2:7" x14ac:dyDescent="0.3">
      <c r="E23" s="37">
        <v>4</v>
      </c>
      <c r="F23" s="56">
        <f>IF(F22+(F22*$C$20*$C$21*G22/$C$18)&gt;$C$18,$C$18,F22+(F22*$C$20*$C$21*G22/$C$18))</f>
        <v>249.36204886477822</v>
      </c>
      <c r="G23" s="56">
        <f>$C$18-F23</f>
        <v>210.63795113522178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3FFB-D51D-4DD2-AA1C-3DCC2DC88447}">
  <dimension ref="B2:N7"/>
  <sheetViews>
    <sheetView tabSelected="1" workbookViewId="0">
      <selection activeCell="P7" sqref="P7"/>
    </sheetView>
  </sheetViews>
  <sheetFormatPr defaultRowHeight="14.4" x14ac:dyDescent="0.3"/>
  <cols>
    <col min="1" max="1" width="8.88671875" style="37"/>
    <col min="2" max="2" width="9.6640625" style="37" bestFit="1" customWidth="1"/>
    <col min="3" max="5" width="8.88671875" style="37"/>
    <col min="6" max="7" width="12" style="37" bestFit="1" customWidth="1"/>
    <col min="8" max="11" width="8.88671875" style="37"/>
    <col min="12" max="12" width="24.109375" style="37" bestFit="1" customWidth="1"/>
    <col min="13" max="14" width="17.6640625" style="37" bestFit="1" customWidth="1"/>
    <col min="15" max="16384" width="8.88671875" style="37"/>
  </cols>
  <sheetData>
    <row r="2" spans="2:14" x14ac:dyDescent="0.3">
      <c r="C2" s="37" t="s">
        <v>112</v>
      </c>
      <c r="D2" s="37" t="s">
        <v>113</v>
      </c>
      <c r="E2" s="37" t="s">
        <v>114</v>
      </c>
      <c r="F2" s="37" t="s">
        <v>92</v>
      </c>
      <c r="G2" s="37" t="s">
        <v>115</v>
      </c>
      <c r="L2" s="37" t="s">
        <v>120</v>
      </c>
      <c r="M2" s="37" t="s">
        <v>92</v>
      </c>
      <c r="N2" s="37" t="s">
        <v>115</v>
      </c>
    </row>
    <row r="3" spans="2:14" x14ac:dyDescent="0.3">
      <c r="B3" s="37" t="s">
        <v>116</v>
      </c>
      <c r="C3" s="42">
        <f>'Обнаружение ошибок'!R9</f>
        <v>0.99999661183273525</v>
      </c>
      <c r="D3" s="42">
        <f>'Обнаружение ошибок'!AQ10</f>
        <v>0.99921906216195489</v>
      </c>
      <c r="E3" s="42">
        <f>'Обнаружение ошибок'!BN6</f>
        <v>0.99999774143783848</v>
      </c>
      <c r="F3" s="43">
        <f>MIN(C3:E3)</f>
        <v>0.99921906216195489</v>
      </c>
      <c r="G3" s="43">
        <f>PRODUCT(C3:E3)</f>
        <v>0.99921341984991974</v>
      </c>
      <c r="L3" s="37">
        <v>2950</v>
      </c>
      <c r="M3" s="59">
        <v>0.99999999456394462</v>
      </c>
      <c r="N3" s="59">
        <v>0.99999999332240486</v>
      </c>
    </row>
    <row r="4" spans="2:14" x14ac:dyDescent="0.3">
      <c r="B4" s="37" t="s">
        <v>117</v>
      </c>
      <c r="C4" s="42">
        <f>Аутентификация!G3</f>
        <v>0.99999999999678701</v>
      </c>
      <c r="D4" s="42">
        <f>Аутентификация!G4</f>
        <v>0.99998715911715408</v>
      </c>
      <c r="E4" s="42">
        <f>Аутентификация!G5</f>
        <v>0.99999999999979028</v>
      </c>
      <c r="F4" s="43">
        <f t="shared" ref="F4:F5" si="0">MIN(C4:E4)</f>
        <v>0.99998715911715408</v>
      </c>
      <c r="G4" s="43">
        <f t="shared" ref="G4:G5" si="1">PRODUCT(C4:E4)</f>
        <v>0.99998715911373137</v>
      </c>
      <c r="L4" s="37">
        <v>3000</v>
      </c>
      <c r="M4" s="59">
        <v>0.9999999944718081</v>
      </c>
      <c r="N4" s="59">
        <v>0.99999999320922528</v>
      </c>
    </row>
    <row r="5" spans="2:14" x14ac:dyDescent="0.3">
      <c r="B5" s="37" t="s">
        <v>118</v>
      </c>
      <c r="C5" s="42">
        <f>Антивирус!C6</f>
        <v>0.79208659995109876</v>
      </c>
      <c r="D5" s="42">
        <f>Антивирус!C14</f>
        <v>0.93430990527975</v>
      </c>
      <c r="E5" s="42">
        <f>Антивирус!C22</f>
        <v>0.45790858942439516</v>
      </c>
      <c r="F5" s="43">
        <f t="shared" si="0"/>
        <v>0.45790858942439516</v>
      </c>
      <c r="G5" s="43">
        <f t="shared" si="1"/>
        <v>0.33887724633286431</v>
      </c>
      <c r="L5" s="37">
        <v>3050</v>
      </c>
      <c r="M5" s="59">
        <v>0.99999999437967146</v>
      </c>
      <c r="N5" s="59">
        <v>0.9999999930960457</v>
      </c>
    </row>
    <row r="6" spans="2:14" x14ac:dyDescent="0.3">
      <c r="B6" s="54" t="s">
        <v>119</v>
      </c>
      <c r="C6" s="54"/>
      <c r="D6" s="54"/>
      <c r="E6" s="54"/>
      <c r="F6" s="38">
        <f>1-(1-F3)*(1-F4)*(1-F5)</f>
        <v>0.99999999456394462</v>
      </c>
      <c r="G6" s="38">
        <f>1-(1-G3)*(1-G4)*(1-G5)</f>
        <v>0.99999999332240486</v>
      </c>
      <c r="L6" s="37">
        <v>3100</v>
      </c>
      <c r="M6" s="59">
        <v>0.99999999428753494</v>
      </c>
      <c r="N6" s="59">
        <v>0.99999999298286624</v>
      </c>
    </row>
    <row r="7" spans="2:14" x14ac:dyDescent="0.3">
      <c r="L7" s="37">
        <v>3150</v>
      </c>
      <c r="M7" s="59">
        <v>0.99999999419539842</v>
      </c>
      <c r="N7" s="59">
        <v>0.99999999286968699</v>
      </c>
    </row>
  </sheetData>
  <mergeCells count="1">
    <mergeCell ref="B6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Параметры для вариантов</vt:lpstr>
      <vt:lpstr>Обнаружение ошибок</vt:lpstr>
      <vt:lpstr>Аутентификация</vt:lpstr>
      <vt:lpstr>Антивирус</vt:lpstr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2025-05-11T08:10:12Z</dcterms:created>
  <dcterms:modified xsi:type="dcterms:W3CDTF">2025-05-11T12:40:09Z</dcterms:modified>
</cp:coreProperties>
</file>