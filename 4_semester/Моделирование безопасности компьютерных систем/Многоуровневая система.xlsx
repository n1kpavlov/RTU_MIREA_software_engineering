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Учеба\ИнфоБез\"/>
    </mc:Choice>
  </mc:AlternateContent>
  <xr:revisionPtr revIDLastSave="0" documentId="13_ncr:1_{21D8DEC0-D7A4-482D-B126-F2DC43E6705C}" xr6:coauthVersionLast="47" xr6:coauthVersionMax="47" xr10:uidLastSave="{00000000-0000-0000-0000-000000000000}"/>
  <bookViews>
    <workbookView xWindow="-108" yWindow="-108" windowWidth="23256" windowHeight="13896" xr2:uid="{397C23EC-01E8-4D48-89EE-96A7D78DBFC8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7" i="1" l="1"/>
  <c r="D28" i="1"/>
  <c r="E28" i="1"/>
  <c r="F28" i="1"/>
  <c r="G28" i="1"/>
  <c r="H28" i="1"/>
  <c r="I28" i="1"/>
  <c r="J28" i="1"/>
  <c r="K28" i="1"/>
  <c r="L28" i="1"/>
  <c r="M28" i="1"/>
  <c r="C28" i="1"/>
  <c r="M27" i="1"/>
  <c r="D27" i="1"/>
  <c r="E27" i="1"/>
  <c r="F27" i="1"/>
  <c r="G27" i="1"/>
  <c r="H27" i="1"/>
  <c r="I27" i="1"/>
  <c r="J27" i="1"/>
  <c r="K27" i="1"/>
  <c r="L27" i="1"/>
  <c r="E6" i="1"/>
  <c r="C18" i="1"/>
  <c r="D26" i="1"/>
  <c r="E26" i="1"/>
  <c r="F26" i="1"/>
  <c r="G26" i="1"/>
  <c r="H26" i="1"/>
  <c r="I26" i="1"/>
  <c r="J26" i="1"/>
  <c r="K26" i="1"/>
  <c r="L26" i="1"/>
  <c r="M26" i="1"/>
  <c r="C26" i="1"/>
  <c r="D25" i="1"/>
  <c r="E25" i="1"/>
  <c r="F25" i="1"/>
  <c r="G25" i="1"/>
  <c r="H25" i="1"/>
  <c r="I25" i="1"/>
  <c r="J25" i="1"/>
  <c r="K25" i="1"/>
  <c r="L25" i="1"/>
  <c r="M25" i="1"/>
  <c r="C25" i="1"/>
  <c r="D24" i="1"/>
  <c r="E24" i="1"/>
  <c r="F24" i="1"/>
  <c r="G24" i="1"/>
  <c r="H24" i="1"/>
  <c r="I24" i="1"/>
  <c r="J24" i="1"/>
  <c r="K24" i="1"/>
  <c r="L24" i="1"/>
  <c r="M24" i="1"/>
  <c r="C24" i="1"/>
  <c r="D23" i="1"/>
  <c r="E23" i="1"/>
  <c r="F23" i="1"/>
  <c r="G23" i="1"/>
  <c r="H23" i="1"/>
  <c r="I23" i="1"/>
  <c r="J23" i="1"/>
  <c r="K23" i="1"/>
  <c r="L23" i="1"/>
  <c r="M23" i="1"/>
  <c r="C23" i="1"/>
  <c r="D22" i="1"/>
  <c r="E22" i="1"/>
  <c r="F22" i="1"/>
  <c r="G22" i="1"/>
  <c r="H22" i="1"/>
  <c r="I22" i="1"/>
  <c r="J22" i="1"/>
  <c r="K22" i="1"/>
  <c r="L22" i="1"/>
  <c r="M22" i="1"/>
  <c r="C22" i="1"/>
  <c r="D21" i="1"/>
  <c r="E21" i="1"/>
  <c r="F21" i="1"/>
  <c r="G21" i="1"/>
  <c r="H21" i="1"/>
  <c r="I21" i="1"/>
  <c r="J21" i="1"/>
  <c r="K21" i="1"/>
  <c r="L21" i="1"/>
  <c r="M21" i="1"/>
  <c r="C21" i="1"/>
  <c r="C20" i="1"/>
  <c r="D20" i="1"/>
  <c r="E20" i="1"/>
  <c r="F20" i="1"/>
  <c r="G20" i="1"/>
  <c r="H20" i="1"/>
  <c r="I20" i="1"/>
  <c r="J20" i="1"/>
  <c r="K20" i="1"/>
  <c r="L20" i="1"/>
  <c r="M20" i="1"/>
  <c r="D19" i="1"/>
  <c r="E19" i="1"/>
  <c r="F19" i="1"/>
  <c r="G19" i="1"/>
  <c r="H19" i="1"/>
  <c r="I19" i="1"/>
  <c r="J19" i="1"/>
  <c r="K19" i="1"/>
  <c r="L19" i="1"/>
  <c r="M19" i="1"/>
  <c r="C19" i="1"/>
  <c r="D18" i="1"/>
  <c r="E18" i="1"/>
  <c r="F18" i="1"/>
  <c r="G18" i="1"/>
  <c r="H18" i="1"/>
  <c r="I18" i="1"/>
  <c r="J18" i="1"/>
  <c r="K18" i="1"/>
  <c r="L18" i="1"/>
  <c r="M18" i="1"/>
  <c r="F4" i="1"/>
  <c r="F5" i="1"/>
  <c r="F3" i="1"/>
  <c r="F6" i="1" s="1"/>
  <c r="E4" i="1"/>
  <c r="E5" i="1"/>
  <c r="E3" i="1"/>
</calcChain>
</file>

<file path=xl/sharedStrings.xml><?xml version="1.0" encoding="utf-8"?>
<sst xmlns="http://schemas.openxmlformats.org/spreadsheetml/2006/main" count="31" uniqueCount="20">
  <si>
    <t>Уровень 1</t>
  </si>
  <si>
    <t>Уровень 2</t>
  </si>
  <si>
    <t>Уровень 3</t>
  </si>
  <si>
    <t>Звено 1</t>
  </si>
  <si>
    <t>Звено 2</t>
  </si>
  <si>
    <t>Звено 3</t>
  </si>
  <si>
    <t>Po</t>
  </si>
  <si>
    <t>Pr</t>
  </si>
  <si>
    <t>Система</t>
  </si>
  <si>
    <t>Эффективность многоуровневой защиты (часть 1)</t>
  </si>
  <si>
    <t>Коэффициенты старения элементов</t>
  </si>
  <si>
    <t>L1R1</t>
  </si>
  <si>
    <t>L1R2</t>
  </si>
  <si>
    <t>L1R3</t>
  </si>
  <si>
    <t>L2R1</t>
  </si>
  <si>
    <t>L2R2</t>
  </si>
  <si>
    <t>L2R3</t>
  </si>
  <si>
    <t>L3R1</t>
  </si>
  <si>
    <t>L3R2</t>
  </si>
  <si>
    <t>L3R3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</si>
</sst>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Fill="1"/>
    <xf numFmtId="0" fontId="0" fillId="0" borderId="0" xfId="0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Лист1!$B$27</c:f>
              <c:strCache>
                <c:ptCount val="1"/>
                <c:pt idx="0">
                  <c:v>Po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Лист1!$C$17:$M$17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Лист1!$C$27:$M$27</c:f>
              <c:numCache>
                <c:formatCode>General</c:formatCode>
                <c:ptCount val="11"/>
                <c:pt idx="0">
                  <c:v>0.99977243622400003</c:v>
                </c:pt>
                <c:pt idx="1">
                  <c:v>0.94278436335463689</c:v>
                </c:pt>
                <c:pt idx="2">
                  <c:v>0.79264183896232776</c:v>
                </c:pt>
                <c:pt idx="3">
                  <c:v>0.62200129320778275</c:v>
                </c:pt>
                <c:pt idx="4">
                  <c:v>0.47255015695003433</c:v>
                </c:pt>
                <c:pt idx="5">
                  <c:v>0.35468538944466743</c:v>
                </c:pt>
                <c:pt idx="6">
                  <c:v>0.26573336317016749</c:v>
                </c:pt>
                <c:pt idx="7">
                  <c:v>0.19967820141279957</c:v>
                </c:pt>
                <c:pt idx="8">
                  <c:v>0.15076329108456865</c:v>
                </c:pt>
                <c:pt idx="9">
                  <c:v>0.11441723322286479</c:v>
                </c:pt>
                <c:pt idx="10">
                  <c:v>8.7250058388004259E-2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E2-48A6-8C51-48CE261428D8}"/>
            </c:ext>
          </c:extLst>
        </c:ser>
        <c:ser>
          <c:idx val="1"/>
          <c:order val="1"/>
          <c:tx>
            <c:strRef>
              <c:f>Лист1!$B$28</c:f>
              <c:strCache>
                <c:ptCount val="1"/>
                <c:pt idx="0">
                  <c:v>Pr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Лист1!$C$17:$M$17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Лист1!$C$28:$M$28</c:f>
              <c:numCache>
                <c:formatCode>General</c:formatCode>
                <c:ptCount val="11"/>
                <c:pt idx="0">
                  <c:v>0.99874832311106976</c:v>
                </c:pt>
                <c:pt idx="1">
                  <c:v>0.73107289208981374</c:v>
                </c:pt>
                <c:pt idx="2">
                  <c:v>0.39673712753579005</c:v>
                </c:pt>
                <c:pt idx="3">
                  <c:v>0.2024965370926618</c:v>
                </c:pt>
                <c:pt idx="4">
                  <c:v>0.10434742086684778</c:v>
                </c:pt>
                <c:pt idx="5">
                  <c:v>5.4991713058267222E-2</c:v>
                </c:pt>
                <c:pt idx="6">
                  <c:v>2.9535013484122796E-2</c:v>
                </c:pt>
                <c:pt idx="7">
                  <c:v>1.6067395061206913E-2</c:v>
                </c:pt>
                <c:pt idx="8">
                  <c:v>8.810283913053496E-3</c:v>
                </c:pt>
                <c:pt idx="9">
                  <c:v>4.8535582550757184E-3</c:v>
                </c:pt>
                <c:pt idx="10">
                  <c:v>2.6810046061066517E-3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E2-48A6-8C51-48CE261428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6097056"/>
        <c:axId val="866113856"/>
      </c:lineChart>
      <c:catAx>
        <c:axId val="866097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66113856"/>
        <c:crosses val="autoZero"/>
        <c:auto val="1"/>
        <c:lblAlgn val="ctr"/>
        <c:lblOffset val="100"/>
        <c:noMultiLvlLbl val="0"/>
      </c:catAx>
      <c:valAx>
        <c:axId val="86611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66097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593911</xdr:colOff>
      <xdr:row>12</xdr:row>
      <xdr:rowOff>115047</xdr:rowOff>
    </xdr:from>
    <xdr:to>
      <xdr:col>21</xdr:col>
      <xdr:colOff>265205</xdr:colOff>
      <xdr:row>27</xdr:row>
      <xdr:rowOff>168835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C2F26192-E852-5A34-8F75-BF1A9E2809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3FDED-FB33-4122-AD26-AFD26AEF31CF}">
  <dimension ref="A1:M28"/>
  <sheetViews>
    <sheetView tabSelected="1" zoomScale="102" workbookViewId="0">
      <selection activeCell="C28" sqref="C28"/>
    </sheetView>
  </sheetViews>
  <sheetFormatPr defaultRowHeight="14.4" x14ac:dyDescent="0.3"/>
  <cols>
    <col min="1" max="1" width="10.21875" customWidth="1"/>
  </cols>
  <sheetData>
    <row r="1" spans="1:6" x14ac:dyDescent="0.3">
      <c r="A1" s="1" t="s">
        <v>9</v>
      </c>
      <c r="B1" s="1"/>
      <c r="C1" s="1"/>
      <c r="D1" s="1"/>
      <c r="E1" s="1"/>
      <c r="F1" s="1"/>
    </row>
    <row r="2" spans="1:6" x14ac:dyDescent="0.3">
      <c r="B2" t="s">
        <v>3</v>
      </c>
      <c r="C2" t="s">
        <v>4</v>
      </c>
      <c r="D2" t="s">
        <v>5</v>
      </c>
      <c r="E2" t="s">
        <v>6</v>
      </c>
      <c r="F2" t="s">
        <v>7</v>
      </c>
    </row>
    <row r="3" spans="1:6" x14ac:dyDescent="0.3">
      <c r="A3" t="s">
        <v>0</v>
      </c>
      <c r="B3" s="2">
        <v>0.95240000000000002</v>
      </c>
      <c r="C3" s="2">
        <v>0.97240000000000004</v>
      </c>
      <c r="D3" s="2">
        <v>0.91239999999999999</v>
      </c>
      <c r="E3" s="3">
        <f>MIN(B3:D3)</f>
        <v>0.91239999999999999</v>
      </c>
      <c r="F3" s="3">
        <f>PRODUCT(B3:D3)</f>
        <v>0.84498619462400015</v>
      </c>
    </row>
    <row r="4" spans="1:6" x14ac:dyDescent="0.3">
      <c r="A4" t="s">
        <v>1</v>
      </c>
      <c r="B4" s="2">
        <v>0.92400000000000004</v>
      </c>
      <c r="C4" s="2">
        <v>0.85240000000000005</v>
      </c>
      <c r="D4" s="2">
        <v>0.87239999999999995</v>
      </c>
      <c r="E4" s="3">
        <f t="shared" ref="E4:E5" si="0">MIN(B4:D4)</f>
        <v>0.85240000000000005</v>
      </c>
      <c r="F4" s="3">
        <f t="shared" ref="F4:F5" si="1">PRODUCT(B4:D4)</f>
        <v>0.68711759423999996</v>
      </c>
    </row>
    <row r="5" spans="1:6" x14ac:dyDescent="0.3">
      <c r="A5" t="s">
        <v>2</v>
      </c>
      <c r="B5" s="2">
        <v>0.99239999999999995</v>
      </c>
      <c r="C5" s="2">
        <v>0.98240000000000005</v>
      </c>
      <c r="D5" s="2">
        <v>0.99924000000000002</v>
      </c>
      <c r="E5" s="3">
        <f t="shared" si="0"/>
        <v>0.98240000000000005</v>
      </c>
      <c r="F5" s="3">
        <f t="shared" si="1"/>
        <v>0.97419281034240002</v>
      </c>
    </row>
    <row r="6" spans="1:6" x14ac:dyDescent="0.3">
      <c r="A6" t="s">
        <v>8</v>
      </c>
      <c r="E6" s="4">
        <f>1-(1-E3)*(1-E4)*(1-E5)</f>
        <v>0.99977243622400003</v>
      </c>
      <c r="F6" s="4">
        <f>1-(1-F3)*(1-F4)*(1-F5)</f>
        <v>0.99874832311106976</v>
      </c>
    </row>
    <row r="10" spans="1:6" x14ac:dyDescent="0.3">
      <c r="A10" s="1" t="s">
        <v>10</v>
      </c>
      <c r="B10" s="1"/>
      <c r="C10" s="1"/>
      <c r="D10" s="1"/>
      <c r="E10" s="6"/>
      <c r="F10" s="6"/>
    </row>
    <row r="11" spans="1:6" x14ac:dyDescent="0.3">
      <c r="B11" t="s">
        <v>3</v>
      </c>
      <c r="C11" t="s">
        <v>4</v>
      </c>
      <c r="D11" t="s">
        <v>5</v>
      </c>
      <c r="E11" s="5"/>
      <c r="F11" s="5"/>
    </row>
    <row r="12" spans="1:6" x14ac:dyDescent="0.3">
      <c r="A12" t="s">
        <v>0</v>
      </c>
      <c r="B12" s="2">
        <v>0.5</v>
      </c>
      <c r="C12" s="2">
        <v>0.4</v>
      </c>
      <c r="D12" s="2">
        <v>0.24</v>
      </c>
      <c r="E12" s="5"/>
      <c r="F12" s="5"/>
    </row>
    <row r="13" spans="1:6" x14ac:dyDescent="0.3">
      <c r="A13" t="s">
        <v>1</v>
      </c>
      <c r="B13" s="2">
        <v>0.24</v>
      </c>
      <c r="C13" s="2">
        <v>0.7</v>
      </c>
      <c r="D13" s="2">
        <v>0.3</v>
      </c>
      <c r="E13" s="5"/>
      <c r="F13" s="5"/>
    </row>
    <row r="14" spans="1:6" x14ac:dyDescent="0.3">
      <c r="A14" t="s">
        <v>2</v>
      </c>
      <c r="B14" s="2">
        <v>0.24</v>
      </c>
      <c r="C14" s="2">
        <v>0.25</v>
      </c>
      <c r="D14" s="2">
        <v>0.1</v>
      </c>
      <c r="E14" s="5"/>
      <c r="F14" s="5"/>
    </row>
    <row r="15" spans="1:6" x14ac:dyDescent="0.3">
      <c r="E15" s="5"/>
      <c r="F15" s="5"/>
    </row>
    <row r="17" spans="1:13" x14ac:dyDescent="0.3">
      <c r="C17">
        <v>0</v>
      </c>
      <c r="D17">
        <v>1</v>
      </c>
      <c r="E17">
        <v>2</v>
      </c>
      <c r="F17">
        <v>3</v>
      </c>
      <c r="G17">
        <v>4</v>
      </c>
      <c r="H17">
        <v>5</v>
      </c>
      <c r="I17">
        <v>6</v>
      </c>
      <c r="J17">
        <v>7</v>
      </c>
      <c r="K17">
        <v>8</v>
      </c>
      <c r="L17">
        <v>9</v>
      </c>
      <c r="M17">
        <v>10</v>
      </c>
    </row>
    <row r="18" spans="1:13" x14ac:dyDescent="0.3">
      <c r="A18" t="s">
        <v>0</v>
      </c>
      <c r="B18" t="s">
        <v>11</v>
      </c>
      <c r="C18">
        <f>$B$3*EXP(-$B$12*C17)</f>
        <v>0.95240000000000002</v>
      </c>
      <c r="D18">
        <f>$B$3*EXP(-$B$12*D17)</f>
        <v>0.57765980031031205</v>
      </c>
      <c r="E18">
        <f t="shared" ref="D18:M18" si="2">$B$3*EXP(-$B$12*E17)</f>
        <v>0.35036837977168167</v>
      </c>
      <c r="F18">
        <f t="shared" si="2"/>
        <v>0.21250916452536456</v>
      </c>
      <c r="G18">
        <f t="shared" si="2"/>
        <v>0.12889332375454995</v>
      </c>
      <c r="H18">
        <f t="shared" si="2"/>
        <v>7.817775268940122E-2</v>
      </c>
      <c r="I18">
        <f t="shared" si="2"/>
        <v>4.741720391355362E-2</v>
      </c>
      <c r="J18">
        <f t="shared" si="2"/>
        <v>2.8759987971416139E-2</v>
      </c>
      <c r="K18">
        <f t="shared" si="2"/>
        <v>1.7443814477630434E-2</v>
      </c>
      <c r="L18">
        <f t="shared" si="2"/>
        <v>1.0580208303021973E-2</v>
      </c>
      <c r="M18">
        <f t="shared" si="2"/>
        <v>6.4172207219289987E-3</v>
      </c>
    </row>
    <row r="19" spans="1:13" x14ac:dyDescent="0.3">
      <c r="B19" t="s">
        <v>12</v>
      </c>
      <c r="C19">
        <f>$C$3*EXP(-$C$12*C17)</f>
        <v>0.97240000000000004</v>
      </c>
      <c r="D19">
        <f t="shared" ref="D19:M19" si="3">$C$3*EXP(-$C$12*D17)</f>
        <v>0.65181921276505572</v>
      </c>
      <c r="E19">
        <f t="shared" si="3"/>
        <v>0.43692748470758624</v>
      </c>
      <c r="F19">
        <f t="shared" si="3"/>
        <v>0.29288125166342527</v>
      </c>
      <c r="G19">
        <f t="shared" si="3"/>
        <v>0.1963241740980029</v>
      </c>
      <c r="H19">
        <f t="shared" si="3"/>
        <v>0.1316000294192822</v>
      </c>
      <c r="I19">
        <f t="shared" si="3"/>
        <v>8.8214137778624691E-2</v>
      </c>
      <c r="J19">
        <f t="shared" si="3"/>
        <v>5.9131704896761936E-2</v>
      </c>
      <c r="K19">
        <f t="shared" si="3"/>
        <v>3.9637167148563308E-2</v>
      </c>
      <c r="L19">
        <f t="shared" si="3"/>
        <v>2.6569587707747287E-2</v>
      </c>
      <c r="M19">
        <f t="shared" si="3"/>
        <v>1.7810127255405116E-2</v>
      </c>
    </row>
    <row r="20" spans="1:13" x14ac:dyDescent="0.3">
      <c r="B20" t="s">
        <v>13</v>
      </c>
      <c r="C20">
        <f>$D$3*EXP(-$D$12*C17)</f>
        <v>0.91239999999999999</v>
      </c>
      <c r="D20">
        <f t="shared" ref="D20:M20" si="4">$D$3*EXP(-$D$12*D17)</f>
        <v>0.71771926043712342</v>
      </c>
      <c r="E20">
        <f t="shared" si="4"/>
        <v>0.5645779666839229</v>
      </c>
      <c r="F20">
        <f t="shared" si="4"/>
        <v>0.44411275833787817</v>
      </c>
      <c r="G20">
        <f t="shared" si="4"/>
        <v>0.34935146916369225</v>
      </c>
      <c r="H20">
        <f t="shared" si="4"/>
        <v>0.27480959894869322</v>
      </c>
      <c r="I20">
        <f t="shared" si="4"/>
        <v>0.21617288702156789</v>
      </c>
      <c r="J20">
        <f t="shared" si="4"/>
        <v>0.17004761573835767</v>
      </c>
      <c r="K20">
        <f t="shared" si="4"/>
        <v>0.13376419224773148</v>
      </c>
      <c r="L20">
        <f t="shared" si="4"/>
        <v>0.10522264043512823</v>
      </c>
      <c r="M20">
        <f t="shared" si="4"/>
        <v>8.2771060581259978E-2</v>
      </c>
    </row>
    <row r="21" spans="1:13" x14ac:dyDescent="0.3">
      <c r="A21" t="s">
        <v>1</v>
      </c>
      <c r="B21" t="s">
        <v>14</v>
      </c>
      <c r="C21">
        <f>$B$4*EXP(-$B$13*C17)</f>
        <v>0.92400000000000004</v>
      </c>
      <c r="D21">
        <f t="shared" ref="D21:M21" si="5">$B$4*EXP(-$B$13*D17)</f>
        <v>0.72684414362549543</v>
      </c>
      <c r="E21">
        <f t="shared" si="5"/>
        <v>0.57175585402887419</v>
      </c>
      <c r="F21">
        <f t="shared" si="5"/>
        <v>0.44975908450701385</v>
      </c>
      <c r="G21">
        <f t="shared" si="5"/>
        <v>0.35379302664100354</v>
      </c>
      <c r="H21">
        <f t="shared" si="5"/>
        <v>0.27830345180687477</v>
      </c>
      <c r="I21">
        <f t="shared" si="5"/>
        <v>0.21892124902228052</v>
      </c>
      <c r="J21">
        <f t="shared" si="5"/>
        <v>0.17220955386041481</v>
      </c>
      <c r="K21">
        <f t="shared" si="5"/>
        <v>0.13546483300844356</v>
      </c>
      <c r="L21">
        <f t="shared" si="5"/>
        <v>0.10656041183916977</v>
      </c>
      <c r="M21">
        <f t="shared" si="5"/>
        <v>8.3823388839417159E-2</v>
      </c>
    </row>
    <row r="22" spans="1:13" x14ac:dyDescent="0.3">
      <c r="B22" t="s">
        <v>15</v>
      </c>
      <c r="C22">
        <f>$C$4*EXP(-$C$13*C17)</f>
        <v>0.85240000000000005</v>
      </c>
      <c r="D22">
        <f t="shared" ref="D22:M22" si="6">$C$4*EXP(-$C$13*D17)</f>
        <v>0.4232893129517975</v>
      </c>
      <c r="E22">
        <f t="shared" si="6"/>
        <v>0.21019925206382539</v>
      </c>
      <c r="F22">
        <f t="shared" si="6"/>
        <v>0.10438185944284181</v>
      </c>
      <c r="G22">
        <f t="shared" si="6"/>
        <v>5.1834497381735803E-2</v>
      </c>
      <c r="H22">
        <f t="shared" si="6"/>
        <v>2.5740249629184291E-2</v>
      </c>
      <c r="I22">
        <f t="shared" si="6"/>
        <v>1.2782229681775207E-2</v>
      </c>
      <c r="J22">
        <f t="shared" si="6"/>
        <v>6.3474674096559115E-3</v>
      </c>
      <c r="K22">
        <f t="shared" si="6"/>
        <v>3.1520590319300515E-3</v>
      </c>
      <c r="L22">
        <f t="shared" si="6"/>
        <v>1.5652661919394405E-3</v>
      </c>
      <c r="M22">
        <f t="shared" si="6"/>
        <v>7.7728818743866973E-4</v>
      </c>
    </row>
    <row r="23" spans="1:13" x14ac:dyDescent="0.3">
      <c r="B23" t="s">
        <v>16</v>
      </c>
      <c r="C23">
        <f>$D$4*EXP(-$D$13*C17)</f>
        <v>0.87239999999999995</v>
      </c>
      <c r="D23">
        <f t="shared" ref="D23:M23" si="7">$D$4*EXP(-$D$13*D17)</f>
        <v>0.64628981572273059</v>
      </c>
      <c r="E23">
        <f t="shared" si="7"/>
        <v>0.47878327132842857</v>
      </c>
      <c r="F23">
        <f t="shared" si="7"/>
        <v>0.35469137115769872</v>
      </c>
      <c r="G23">
        <f t="shared" si="7"/>
        <v>0.26276183047220514</v>
      </c>
      <c r="H23">
        <f t="shared" si="7"/>
        <v>0.19465875171349017</v>
      </c>
      <c r="I23">
        <f t="shared" si="7"/>
        <v>0.14420675008451211</v>
      </c>
      <c r="J23">
        <f t="shared" si="7"/>
        <v>0.1068309880079014</v>
      </c>
      <c r="K23">
        <f t="shared" si="7"/>
        <v>7.9142342449683475E-2</v>
      </c>
      <c r="L23">
        <f t="shared" si="7"/>
        <v>5.863008931415771E-2</v>
      </c>
      <c r="M23">
        <f t="shared" si="7"/>
        <v>4.3434238444124501E-2</v>
      </c>
    </row>
    <row r="24" spans="1:13" x14ac:dyDescent="0.3">
      <c r="A24" t="s">
        <v>2</v>
      </c>
      <c r="B24" t="s">
        <v>17</v>
      </c>
      <c r="C24">
        <f>$B$5*EXP(-$B$14*C17)</f>
        <v>0.99239999999999995</v>
      </c>
      <c r="D24">
        <f t="shared" ref="D24:M24" si="8">$B$5*EXP(-$B$14*D17)</f>
        <v>0.7806494893224476</v>
      </c>
      <c r="E24">
        <f t="shared" si="8"/>
        <v>0.61408063802841417</v>
      </c>
      <c r="F24">
        <f t="shared" si="8"/>
        <v>0.48305293881467587</v>
      </c>
      <c r="G24">
        <f t="shared" si="8"/>
        <v>0.37998290004170121</v>
      </c>
      <c r="H24">
        <f t="shared" si="8"/>
        <v>0.29890513590166939</v>
      </c>
      <c r="I24">
        <f t="shared" si="8"/>
        <v>0.23512710771613762</v>
      </c>
      <c r="J24">
        <f t="shared" si="8"/>
        <v>0.18495753382151045</v>
      </c>
      <c r="K24">
        <f t="shared" si="8"/>
        <v>0.1454927492181595</v>
      </c>
      <c r="L24">
        <f t="shared" si="8"/>
        <v>0.11444865011817323</v>
      </c>
      <c r="M24">
        <f t="shared" si="8"/>
        <v>9.002849684441297E-2</v>
      </c>
    </row>
    <row r="25" spans="1:13" x14ac:dyDescent="0.3">
      <c r="B25" t="s">
        <v>18</v>
      </c>
      <c r="C25">
        <f>$C$5*EXP(-$C$14*C17)</f>
        <v>0.98240000000000005</v>
      </c>
      <c r="D25">
        <f t="shared" ref="D25:M25" si="9">$C$5*EXP(-$C$14*D17)</f>
        <v>0.76509388928934818</v>
      </c>
      <c r="E25">
        <f t="shared" si="9"/>
        <v>0.59585572010169108</v>
      </c>
      <c r="F25">
        <f t="shared" si="9"/>
        <v>0.46405290141277283</v>
      </c>
      <c r="G25">
        <f t="shared" si="9"/>
        <v>0.36140476300682495</v>
      </c>
      <c r="H25">
        <f t="shared" si="9"/>
        <v>0.28146231243545078</v>
      </c>
      <c r="I25">
        <f t="shared" si="9"/>
        <v>0.21920306932981745</v>
      </c>
      <c r="J25">
        <f t="shared" si="9"/>
        <v>0.17071552204571733</v>
      </c>
      <c r="K25">
        <f t="shared" si="9"/>
        <v>0.13295338225164832</v>
      </c>
      <c r="L25">
        <f t="shared" si="9"/>
        <v>0.10354419820957553</v>
      </c>
      <c r="M25">
        <f t="shared" si="9"/>
        <v>8.0640302648118181E-2</v>
      </c>
    </row>
    <row r="26" spans="1:13" x14ac:dyDescent="0.3">
      <c r="B26" t="s">
        <v>19</v>
      </c>
      <c r="C26">
        <f>$D$5*EXP(-$D$14*C17)</f>
        <v>0.99924000000000002</v>
      </c>
      <c r="D26">
        <f t="shared" ref="D26:M26" si="10">$D$5*EXP(-$D$14*D17)</f>
        <v>0.90414974159825223</v>
      </c>
      <c r="E26">
        <f t="shared" si="10"/>
        <v>0.81810851770564252</v>
      </c>
      <c r="F26">
        <f t="shared" si="10"/>
        <v>0.74025519883399982</v>
      </c>
      <c r="G26">
        <f t="shared" si="10"/>
        <v>0.6698106028006523</v>
      </c>
      <c r="H26">
        <f t="shared" si="10"/>
        <v>0.60606969641125186</v>
      </c>
      <c r="I26">
        <f t="shared" si="10"/>
        <v>0.54839453925059489</v>
      </c>
      <c r="J26">
        <f t="shared" si="10"/>
        <v>0.49620789896052803</v>
      </c>
      <c r="K26">
        <f t="shared" si="10"/>
        <v>0.44898747410449247</v>
      </c>
      <c r="L26">
        <f t="shared" si="10"/>
        <v>0.40626066679919626</v>
      </c>
      <c r="M26">
        <f t="shared" si="10"/>
        <v>0.36759985279615204</v>
      </c>
    </row>
    <row r="27" spans="1:13" x14ac:dyDescent="0.3">
      <c r="B27" t="s">
        <v>6</v>
      </c>
      <c r="C27" s="2">
        <f>1-(1-MIN(C18:C20))*(1-MIN(C21:C23))*(1-MIN(C24:C26))</f>
        <v>0.99977243622400003</v>
      </c>
      <c r="D27" s="2">
        <f t="shared" ref="D27:M27" si="11">1-(1-MIN(D18:D20))*(1-MIN(D21:D23))*(1-MIN(D24:D26))</f>
        <v>0.94278436335463689</v>
      </c>
      <c r="E27" s="2">
        <f t="shared" si="11"/>
        <v>0.79264183896232776</v>
      </c>
      <c r="F27" s="2">
        <f t="shared" si="11"/>
        <v>0.62200129320778275</v>
      </c>
      <c r="G27" s="2">
        <f t="shared" si="11"/>
        <v>0.47255015695003433</v>
      </c>
      <c r="H27" s="2">
        <f t="shared" si="11"/>
        <v>0.35468538944466743</v>
      </c>
      <c r="I27" s="2">
        <f t="shared" si="11"/>
        <v>0.26573336317016749</v>
      </c>
      <c r="J27" s="2">
        <f t="shared" si="11"/>
        <v>0.19967820141279957</v>
      </c>
      <c r="K27" s="2">
        <f t="shared" si="11"/>
        <v>0.15076329108456865</v>
      </c>
      <c r="L27" s="2">
        <f t="shared" si="11"/>
        <v>0.11441723322286479</v>
      </c>
      <c r="M27" s="2">
        <f>1-(1-MIN(M18:M20))*(1-MIN(M21:M23))*(1-MIN(M24:M26))</f>
        <v>8.7250058388004259E-2</v>
      </c>
    </row>
    <row r="28" spans="1:13" x14ac:dyDescent="0.3">
      <c r="B28" t="s">
        <v>7</v>
      </c>
      <c r="C28" s="2">
        <f>1-(1-PRODUCT(C18:C20))*(1-PRODUCT(C21:C23))*(1-PRODUCT(C24:C26))</f>
        <v>0.99874832311106976</v>
      </c>
      <c r="D28" s="2">
        <f t="shared" ref="D28:M28" si="12">1-(1-PRODUCT(D18:D20))*(1-PRODUCT(D21:D23))*(1-PRODUCT(D24:D26))</f>
        <v>0.73107289208981374</v>
      </c>
      <c r="E28" s="2">
        <f t="shared" si="12"/>
        <v>0.39673712753579005</v>
      </c>
      <c r="F28" s="2">
        <f t="shared" si="12"/>
        <v>0.2024965370926618</v>
      </c>
      <c r="G28" s="2">
        <f t="shared" si="12"/>
        <v>0.10434742086684778</v>
      </c>
      <c r="H28" s="2">
        <f t="shared" si="12"/>
        <v>5.4991713058267222E-2</v>
      </c>
      <c r="I28" s="2">
        <f t="shared" si="12"/>
        <v>2.9535013484122796E-2</v>
      </c>
      <c r="J28" s="2">
        <f t="shared" si="12"/>
        <v>1.6067395061206913E-2</v>
      </c>
      <c r="K28" s="2">
        <f t="shared" si="12"/>
        <v>8.810283913053496E-3</v>
      </c>
      <c r="L28" s="2">
        <f t="shared" si="12"/>
        <v>4.8535582550757184E-3</v>
      </c>
      <c r="M28" s="2">
        <f t="shared" si="12"/>
        <v>2.6810046061066517E-3</v>
      </c>
    </row>
  </sheetData>
  <mergeCells count="2">
    <mergeCell ref="A1:F1"/>
    <mergeCell ref="A10:D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 Pavlov</dc:creator>
  <cp:lastModifiedBy>Nikita Pavlov</cp:lastModifiedBy>
  <dcterms:created xsi:type="dcterms:W3CDTF">2025-03-14T13:22:49Z</dcterms:created>
  <dcterms:modified xsi:type="dcterms:W3CDTF">2025-03-14T14:39:42Z</dcterms:modified>
</cp:coreProperties>
</file>