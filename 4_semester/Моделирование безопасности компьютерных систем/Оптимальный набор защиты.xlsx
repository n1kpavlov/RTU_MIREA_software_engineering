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AFBC8C58-BC3F-4A21-9D9F-547B29364A4A}" xr6:coauthVersionLast="47" xr6:coauthVersionMax="47" xr10:uidLastSave="{00000000-0000-0000-0000-000000000000}"/>
  <bookViews>
    <workbookView xWindow="-108" yWindow="-108" windowWidth="23256" windowHeight="13896" xr2:uid="{72CC3ADD-6A73-4F5C-ABD8-3716F86DAD4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47" i="1" s="1"/>
  <c r="P15" i="1"/>
  <c r="O15" i="1"/>
  <c r="O16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O46" i="1"/>
  <c r="P16" i="1"/>
  <c r="Q16" i="1"/>
  <c r="R16" i="1"/>
  <c r="S16" i="1"/>
  <c r="O17" i="1"/>
  <c r="P17" i="1"/>
  <c r="Q17" i="1"/>
  <c r="R17" i="1"/>
  <c r="S17" i="1"/>
  <c r="O18" i="1"/>
  <c r="P18" i="1"/>
  <c r="Q18" i="1"/>
  <c r="R18" i="1"/>
  <c r="S18" i="1"/>
  <c r="O19" i="1"/>
  <c r="P19" i="1"/>
  <c r="Q19" i="1"/>
  <c r="R19" i="1"/>
  <c r="S19" i="1"/>
  <c r="O20" i="1"/>
  <c r="P20" i="1"/>
  <c r="Q20" i="1"/>
  <c r="R20" i="1"/>
  <c r="S20" i="1"/>
  <c r="O21" i="1"/>
  <c r="P21" i="1"/>
  <c r="Q21" i="1"/>
  <c r="R21" i="1"/>
  <c r="S21" i="1"/>
  <c r="O22" i="1"/>
  <c r="P22" i="1"/>
  <c r="Q22" i="1"/>
  <c r="R22" i="1"/>
  <c r="S22" i="1"/>
  <c r="O23" i="1"/>
  <c r="P23" i="1"/>
  <c r="Q23" i="1"/>
  <c r="R23" i="1"/>
  <c r="S23" i="1"/>
  <c r="O24" i="1"/>
  <c r="P24" i="1"/>
  <c r="Q24" i="1"/>
  <c r="R24" i="1"/>
  <c r="S24" i="1"/>
  <c r="O25" i="1"/>
  <c r="P25" i="1"/>
  <c r="Q25" i="1"/>
  <c r="R25" i="1"/>
  <c r="S25" i="1"/>
  <c r="O26" i="1"/>
  <c r="P26" i="1"/>
  <c r="Q26" i="1"/>
  <c r="R26" i="1"/>
  <c r="S26" i="1"/>
  <c r="O27" i="1"/>
  <c r="P27" i="1"/>
  <c r="Q27" i="1"/>
  <c r="R27" i="1"/>
  <c r="S27" i="1"/>
  <c r="O28" i="1"/>
  <c r="P28" i="1"/>
  <c r="Q28" i="1"/>
  <c r="R28" i="1"/>
  <c r="S28" i="1"/>
  <c r="O29" i="1"/>
  <c r="P29" i="1"/>
  <c r="Q29" i="1"/>
  <c r="R29" i="1"/>
  <c r="S29" i="1"/>
  <c r="O30" i="1"/>
  <c r="P30" i="1"/>
  <c r="Q30" i="1"/>
  <c r="R30" i="1"/>
  <c r="S30" i="1"/>
  <c r="O31" i="1"/>
  <c r="P31" i="1"/>
  <c r="Q31" i="1"/>
  <c r="R31" i="1"/>
  <c r="S31" i="1"/>
  <c r="O32" i="1"/>
  <c r="P32" i="1"/>
  <c r="Q32" i="1"/>
  <c r="R32" i="1"/>
  <c r="S32" i="1"/>
  <c r="O33" i="1"/>
  <c r="P33" i="1"/>
  <c r="Q33" i="1"/>
  <c r="R33" i="1"/>
  <c r="S33" i="1"/>
  <c r="O34" i="1"/>
  <c r="P34" i="1"/>
  <c r="Q34" i="1"/>
  <c r="R34" i="1"/>
  <c r="S34" i="1"/>
  <c r="O35" i="1"/>
  <c r="P35" i="1"/>
  <c r="Q35" i="1"/>
  <c r="R35" i="1"/>
  <c r="S35" i="1"/>
  <c r="O36" i="1"/>
  <c r="P36" i="1"/>
  <c r="Q36" i="1"/>
  <c r="R36" i="1"/>
  <c r="S36" i="1"/>
  <c r="O37" i="1"/>
  <c r="P37" i="1"/>
  <c r="Q37" i="1"/>
  <c r="R37" i="1"/>
  <c r="S37" i="1"/>
  <c r="O38" i="1"/>
  <c r="P38" i="1"/>
  <c r="Q38" i="1"/>
  <c r="R38" i="1"/>
  <c r="S38" i="1"/>
  <c r="O39" i="1"/>
  <c r="P39" i="1"/>
  <c r="Q39" i="1"/>
  <c r="R39" i="1"/>
  <c r="S39" i="1"/>
  <c r="O40" i="1"/>
  <c r="P40" i="1"/>
  <c r="Q40" i="1"/>
  <c r="R40" i="1"/>
  <c r="S40" i="1"/>
  <c r="O41" i="1"/>
  <c r="P41" i="1"/>
  <c r="Q41" i="1"/>
  <c r="R41" i="1"/>
  <c r="S41" i="1"/>
  <c r="O42" i="1"/>
  <c r="P42" i="1"/>
  <c r="Q42" i="1"/>
  <c r="R42" i="1"/>
  <c r="S42" i="1"/>
  <c r="O43" i="1"/>
  <c r="P43" i="1"/>
  <c r="Q43" i="1"/>
  <c r="R43" i="1"/>
  <c r="S43" i="1"/>
  <c r="O44" i="1"/>
  <c r="P44" i="1"/>
  <c r="Q44" i="1"/>
  <c r="R44" i="1"/>
  <c r="S44" i="1"/>
  <c r="O45" i="1"/>
  <c r="P45" i="1"/>
  <c r="Q45" i="1"/>
  <c r="R45" i="1"/>
  <c r="S45" i="1"/>
  <c r="P46" i="1"/>
  <c r="Q46" i="1"/>
  <c r="R46" i="1"/>
  <c r="S46" i="1"/>
  <c r="S15" i="1"/>
  <c r="R15" i="1"/>
  <c r="Q15" i="1"/>
  <c r="N10" i="1"/>
  <c r="N7" i="1"/>
  <c r="N8" i="1"/>
  <c r="N9" i="1"/>
  <c r="N6" i="1"/>
  <c r="O6" i="1" s="1"/>
  <c r="O12" i="1"/>
  <c r="O7" i="1"/>
  <c r="O8" i="1"/>
  <c r="O9" i="1"/>
  <c r="O10" i="1"/>
  <c r="O11" i="1" l="1"/>
  <c r="O13" i="1" s="1"/>
</calcChain>
</file>

<file path=xl/sharedStrings.xml><?xml version="1.0" encoding="utf-8"?>
<sst xmlns="http://schemas.openxmlformats.org/spreadsheetml/2006/main" count="27" uniqueCount="27">
  <si>
    <t>C1</t>
  </si>
  <si>
    <t>C2</t>
  </si>
  <si>
    <t>C3</t>
  </si>
  <si>
    <t>C4</t>
  </si>
  <si>
    <t>C5</t>
  </si>
  <si>
    <t>y1</t>
  </si>
  <si>
    <t>y2</t>
  </si>
  <si>
    <t>y3</t>
  </si>
  <si>
    <t>y4</t>
  </si>
  <si>
    <t>y5</t>
  </si>
  <si>
    <t>Угроза</t>
  </si>
  <si>
    <t>Pв</t>
  </si>
  <si>
    <t>Ui</t>
  </si>
  <si>
    <t>Ки</t>
  </si>
  <si>
    <t>S</t>
  </si>
  <si>
    <t>Ppi (вер. реал-ии)</t>
  </si>
  <si>
    <t>Ri</t>
  </si>
  <si>
    <t>R* (инт. риск)</t>
  </si>
  <si>
    <t>S (общ. сто-ть)</t>
  </si>
  <si>
    <t>R (общий риск)</t>
  </si>
  <si>
    <t>№</t>
  </si>
  <si>
    <t>С1</t>
  </si>
  <si>
    <t>С2</t>
  </si>
  <si>
    <t>С3</t>
  </si>
  <si>
    <t>С4</t>
  </si>
  <si>
    <t>С5</t>
  </si>
  <si>
    <t>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</si>
</sst>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13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2" xfId="0" applyFill="1" applyBorder="1"/>
    <xf numFmtId="0" fontId="0" fillId="5" borderId="5" xfId="0" applyFill="1" applyBorder="1"/>
    <xf numFmtId="0" fontId="0" fillId="6" borderId="8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3" xfId="0" applyFill="1" applyBorder="1"/>
    <xf numFmtId="0" fontId="0" fillId="6" borderId="6" xfId="0" applyFill="1" applyBorder="1"/>
    <xf numFmtId="0" fontId="0" fillId="0" borderId="5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8A86-80C1-4858-96D1-206A971FC38A}">
  <dimension ref="B1:S47"/>
  <sheetViews>
    <sheetView tabSelected="1" topLeftCell="A21" workbookViewId="0">
      <selection activeCell="N31" sqref="N31"/>
    </sheetView>
  </sheetViews>
  <sheetFormatPr defaultRowHeight="14.4" x14ac:dyDescent="0.3"/>
  <cols>
    <col min="13" max="14" width="16" bestFit="1" customWidth="1"/>
  </cols>
  <sheetData>
    <row r="1" spans="2:19" ht="15" thickBot="1" x14ac:dyDescent="0.35"/>
    <row r="2" spans="2:19" x14ac:dyDescent="0.3">
      <c r="F2" s="28"/>
      <c r="G2" s="29" t="s">
        <v>0</v>
      </c>
      <c r="H2" s="29" t="s">
        <v>1</v>
      </c>
      <c r="I2" s="29" t="s">
        <v>2</v>
      </c>
      <c r="J2" s="29" t="s">
        <v>3</v>
      </c>
      <c r="K2" s="30" t="s">
        <v>4</v>
      </c>
    </row>
    <row r="3" spans="2:19" x14ac:dyDescent="0.3">
      <c r="F3" s="31" t="s">
        <v>14</v>
      </c>
      <c r="G3" s="32">
        <v>80</v>
      </c>
      <c r="H3" s="32">
        <v>50</v>
      </c>
      <c r="I3" s="32">
        <v>120</v>
      </c>
      <c r="J3" s="32">
        <v>110</v>
      </c>
      <c r="K3" s="33">
        <v>100</v>
      </c>
    </row>
    <row r="4" spans="2:19" ht="15" thickBot="1" x14ac:dyDescent="0.35">
      <c r="F4" s="34" t="s">
        <v>13</v>
      </c>
      <c r="G4" s="35">
        <v>0</v>
      </c>
      <c r="H4" s="35">
        <v>1</v>
      </c>
      <c r="I4" s="35">
        <v>0</v>
      </c>
      <c r="J4" s="35">
        <v>0</v>
      </c>
      <c r="K4" s="36">
        <v>1</v>
      </c>
    </row>
    <row r="5" spans="2:19" ht="15" thickBot="1" x14ac:dyDescent="0.35">
      <c r="B5" s="10" t="s">
        <v>10</v>
      </c>
      <c r="C5" s="11" t="s">
        <v>11</v>
      </c>
      <c r="D5" s="12" t="s">
        <v>12</v>
      </c>
      <c r="N5" s="42" t="s">
        <v>15</v>
      </c>
      <c r="O5" s="43" t="s">
        <v>16</v>
      </c>
    </row>
    <row r="6" spans="2:19" x14ac:dyDescent="0.3">
      <c r="B6" s="13" t="s">
        <v>5</v>
      </c>
      <c r="C6" s="14">
        <v>0.42399999999999999</v>
      </c>
      <c r="D6" s="15">
        <v>400</v>
      </c>
      <c r="G6" s="19">
        <v>0.92400000000000004</v>
      </c>
      <c r="H6" s="20"/>
      <c r="I6" s="20">
        <v>0.93</v>
      </c>
      <c r="J6" s="20"/>
      <c r="K6" s="21">
        <v>0.91</v>
      </c>
      <c r="N6" s="37">
        <f>(1-G6*G$4)*(1-H6*H$4)*(1-I6*I$4)*(1-J6*J$4)*(1-K6*K$4)*C6</f>
        <v>3.8159999999999986E-2</v>
      </c>
      <c r="O6" s="38">
        <f>N6*D6</f>
        <v>15.263999999999994</v>
      </c>
    </row>
    <row r="7" spans="2:19" x14ac:dyDescent="0.3">
      <c r="B7" s="13" t="s">
        <v>6</v>
      </c>
      <c r="C7" s="14">
        <v>0.224</v>
      </c>
      <c r="D7" s="15">
        <v>350</v>
      </c>
      <c r="G7" s="22"/>
      <c r="H7" s="23">
        <v>0.82399999999999995</v>
      </c>
      <c r="I7" s="23"/>
      <c r="J7" s="23">
        <v>0.99</v>
      </c>
      <c r="K7" s="24"/>
      <c r="N7" s="37">
        <f t="shared" ref="N7:N10" si="0">(1-G7*G$4)*(1-H7*H$4)*(1-I7*I$4)*(1-J7*J$4)*(1-K7*K$4)*C7</f>
        <v>3.9424000000000008E-2</v>
      </c>
      <c r="O7" s="38">
        <f t="shared" ref="O7:O10" si="1">N7*D7</f>
        <v>13.798400000000003</v>
      </c>
    </row>
    <row r="8" spans="2:19" x14ac:dyDescent="0.3">
      <c r="B8" s="13" t="s">
        <v>7</v>
      </c>
      <c r="C8" s="14">
        <v>0.32400000000000001</v>
      </c>
      <c r="D8" s="15">
        <v>250</v>
      </c>
      <c r="G8" s="22">
        <v>0.95</v>
      </c>
      <c r="H8" s="23"/>
      <c r="I8" s="23">
        <v>0.91</v>
      </c>
      <c r="J8" s="23"/>
      <c r="K8" s="24">
        <v>0.99</v>
      </c>
      <c r="N8" s="37">
        <f t="shared" si="0"/>
        <v>3.2400000000000029E-3</v>
      </c>
      <c r="O8" s="38">
        <f t="shared" si="1"/>
        <v>0.81000000000000072</v>
      </c>
    </row>
    <row r="9" spans="2:19" x14ac:dyDescent="0.3">
      <c r="B9" s="13" t="s">
        <v>8</v>
      </c>
      <c r="C9" s="14">
        <v>0.15</v>
      </c>
      <c r="D9" s="15">
        <v>180</v>
      </c>
      <c r="G9" s="22">
        <v>0.82399999999999995</v>
      </c>
      <c r="H9" s="23"/>
      <c r="I9" s="23"/>
      <c r="J9" s="23">
        <v>0.98</v>
      </c>
      <c r="K9" s="24"/>
      <c r="N9" s="37">
        <f t="shared" si="0"/>
        <v>0.15</v>
      </c>
      <c r="O9" s="38">
        <f t="shared" si="1"/>
        <v>27</v>
      </c>
    </row>
    <row r="10" spans="2:19" ht="15" thickBot="1" x14ac:dyDescent="0.35">
      <c r="B10" s="16" t="s">
        <v>9</v>
      </c>
      <c r="C10" s="17">
        <v>0.124</v>
      </c>
      <c r="D10" s="18">
        <v>150</v>
      </c>
      <c r="G10" s="25"/>
      <c r="H10" s="26">
        <v>0.124</v>
      </c>
      <c r="I10" s="26">
        <v>0.624</v>
      </c>
      <c r="J10" s="26"/>
      <c r="K10" s="27">
        <v>0.124</v>
      </c>
      <c r="N10" s="37">
        <f>(1-G10*G$4)*(1-H10*H$4)*(1-I10*I$4)*(1-J10*J$4)*(1-K10*K$4)*C10</f>
        <v>9.5154623999999993E-2</v>
      </c>
      <c r="O10" s="38">
        <f t="shared" si="1"/>
        <v>14.273193599999999</v>
      </c>
    </row>
    <row r="11" spans="2:19" x14ac:dyDescent="0.3">
      <c r="N11" s="40" t="s">
        <v>19</v>
      </c>
      <c r="O11" s="41">
        <f>SUM(O6:O10)</f>
        <v>71.145593599999998</v>
      </c>
    </row>
    <row r="12" spans="2:19" x14ac:dyDescent="0.3">
      <c r="N12" s="40" t="s">
        <v>18</v>
      </c>
      <c r="O12" s="41">
        <f>SUMPRODUCT(G3:K3,G4:K4)</f>
        <v>150</v>
      </c>
    </row>
    <row r="13" spans="2:19" ht="15" thickBot="1" x14ac:dyDescent="0.35">
      <c r="N13" s="44" t="s">
        <v>17</v>
      </c>
      <c r="O13" s="39">
        <f>SUM(O11:O12)</f>
        <v>221.14559359999998</v>
      </c>
    </row>
    <row r="14" spans="2:19" x14ac:dyDescent="0.3">
      <c r="F14" s="1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3" t="s">
        <v>26</v>
      </c>
    </row>
    <row r="15" spans="2:19" x14ac:dyDescent="0.3">
      <c r="F15" s="4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6">
        <f>SUMPRODUCT($G$3:$K$3,G15:K15)+SUM($D$6*O15,$D$7*P15,$D$8*Q15,$D$9*R15,$D$10*S15)</f>
        <v>374.6</v>
      </c>
      <c r="O15">
        <f>(1-$G15*$G$6)*(1-$H15*$H$6)*(1-$I15*$I$6)*(1-$J15*$J$6)*(1-$K15*$K$6)*$C$6</f>
        <v>0.42399999999999999</v>
      </c>
      <c r="P15">
        <f>(1-$G15*$G$7)*(1-$H15*$H$7)*(1-$I15*$I$7)*(1-$J15*$J$7)*(1-$K15*$K$7)*$C$7</f>
        <v>0.224</v>
      </c>
      <c r="Q15">
        <f>(1-$G15*$G$8)*(1-$H15*$H$8)*(1-$I15*$I$8)*(1-$J15*$J$8)*(1-$K15*$K$8)*$C$8</f>
        <v>0.32400000000000001</v>
      </c>
      <c r="R15">
        <f>(1-$G15*$G$9)*(1-$H15*$H$9)*(1-$I15*$I$9)*(1-$J15*$J$9)*(1-$K15*$K$9)*$C$9</f>
        <v>0.15</v>
      </c>
      <c r="S15">
        <f>(1-$G15*$G$10)*(1-$H15*$H$10)*(1-$I15*$I$10)*(1-$J15*$J$10)*(1-$K15*$K$10)*$C$10</f>
        <v>0.124</v>
      </c>
    </row>
    <row r="16" spans="2:19" x14ac:dyDescent="0.3">
      <c r="F16" s="4">
        <v>1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6">
        <f t="shared" ref="L16:L46" si="2">SUMPRODUCT($G$3:$K$3,G16:K16)+SUM($D$6*O16,$D$7*P16,$D$8*Q16,$D$9*R16,$D$10*S16)</f>
        <v>237.76760000000002</v>
      </c>
      <c r="O16">
        <f t="shared" ref="O16:O46" si="3">(1-$G16*$G$6)*(1-$H16*$H$6)*(1-$I16*$I$6)*(1-$J16*$J$6)*(1-$K16*$K$6)*$C$6</f>
        <v>3.8159999999999986E-2</v>
      </c>
      <c r="P16">
        <f t="shared" ref="P16:P46" si="4">(1-$G16*$G$7)*(1-$H16*$H$7)*(1-$I16*$I$7)*(1-$J16*$J$7)*(1-$K16*$K$7)*$C$7</f>
        <v>0.224</v>
      </c>
      <c r="Q16">
        <f t="shared" ref="Q16:Q46" si="5">(1-$G16*$G$8)*(1-$H16*$H$8)*(1-$I16*$I$8)*(1-$J16*$J$8)*(1-$K16*$K$8)*$C$8</f>
        <v>3.2400000000000029E-3</v>
      </c>
      <c r="R16">
        <f t="shared" ref="R16:R46" si="6">(1-$G16*$G$9)*(1-$H16*$H$9)*(1-$I16*$I$9)*(1-$J16*$J$9)*(1-$K16*$K$9)*$C$9</f>
        <v>0.15</v>
      </c>
      <c r="S16">
        <f t="shared" ref="S16:S46" si="7">(1-$G16*$G$10)*(1-$H16*$H$10)*(1-$I16*$I$10)*(1-$J16*$J$10)*(1-$K16*$K$10)*$C$10</f>
        <v>0.108624</v>
      </c>
    </row>
    <row r="17" spans="6:19" x14ac:dyDescent="0.3">
      <c r="F17" s="4">
        <v>2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6">
        <f t="shared" si="2"/>
        <v>380.524</v>
      </c>
      <c r="O17">
        <f t="shared" si="3"/>
        <v>0.42399999999999999</v>
      </c>
      <c r="P17">
        <f t="shared" si="4"/>
        <v>2.240000000000002E-3</v>
      </c>
      <c r="Q17">
        <f t="shared" si="5"/>
        <v>0.32400000000000001</v>
      </c>
      <c r="R17">
        <f t="shared" si="6"/>
        <v>3.0000000000000027E-3</v>
      </c>
      <c r="S17">
        <f t="shared" si="7"/>
        <v>0.124</v>
      </c>
    </row>
    <row r="18" spans="6:19" x14ac:dyDescent="0.3">
      <c r="F18" s="4">
        <v>3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6">
        <f t="shared" si="2"/>
        <v>243.69159999999999</v>
      </c>
      <c r="O18">
        <f t="shared" si="3"/>
        <v>3.8159999999999986E-2</v>
      </c>
      <c r="P18">
        <f t="shared" si="4"/>
        <v>2.240000000000002E-3</v>
      </c>
      <c r="Q18">
        <f t="shared" si="5"/>
        <v>3.2400000000000029E-3</v>
      </c>
      <c r="R18">
        <f t="shared" si="6"/>
        <v>3.0000000000000027E-3</v>
      </c>
      <c r="S18">
        <f t="shared" si="7"/>
        <v>0.108624</v>
      </c>
    </row>
    <row r="19" spans="6:19" x14ac:dyDescent="0.3">
      <c r="F19" s="4">
        <v>4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6">
        <f t="shared" si="2"/>
        <v>251.55559999999997</v>
      </c>
      <c r="O19">
        <f t="shared" si="3"/>
        <v>2.9679999999999977E-2</v>
      </c>
      <c r="P19">
        <f t="shared" si="4"/>
        <v>0.224</v>
      </c>
      <c r="Q19">
        <f t="shared" si="5"/>
        <v>2.9159999999999991E-2</v>
      </c>
      <c r="R19">
        <f t="shared" si="6"/>
        <v>0.15</v>
      </c>
      <c r="S19">
        <f t="shared" si="7"/>
        <v>4.6623999999999999E-2</v>
      </c>
    </row>
    <row r="20" spans="6:19" x14ac:dyDescent="0.3">
      <c r="F20" s="4">
        <v>5</v>
      </c>
      <c r="G20" s="5">
        <v>0</v>
      </c>
      <c r="H20" s="5">
        <v>0</v>
      </c>
      <c r="I20" s="5">
        <v>1</v>
      </c>
      <c r="J20" s="5">
        <v>0</v>
      </c>
      <c r="K20" s="5">
        <v>1</v>
      </c>
      <c r="L20" s="6">
        <f t="shared" si="2"/>
        <v>332.66777360000003</v>
      </c>
      <c r="O20">
        <f t="shared" si="3"/>
        <v>2.6711999999999968E-3</v>
      </c>
      <c r="P20">
        <f t="shared" si="4"/>
        <v>0.224</v>
      </c>
      <c r="Q20">
        <f t="shared" si="5"/>
        <v>2.916000000000002E-4</v>
      </c>
      <c r="R20">
        <f t="shared" si="6"/>
        <v>0.15</v>
      </c>
      <c r="S20">
        <f t="shared" si="7"/>
        <v>4.0842624000000001E-2</v>
      </c>
    </row>
    <row r="21" spans="6:19" x14ac:dyDescent="0.3">
      <c r="F21" s="4">
        <v>6</v>
      </c>
      <c r="G21" s="5">
        <v>0</v>
      </c>
      <c r="H21" s="5">
        <v>0</v>
      </c>
      <c r="I21" s="5">
        <v>1</v>
      </c>
      <c r="J21" s="5">
        <v>1</v>
      </c>
      <c r="K21" s="5">
        <v>0</v>
      </c>
      <c r="L21" s="6">
        <f t="shared" si="2"/>
        <v>257.4796</v>
      </c>
      <c r="O21">
        <f t="shared" si="3"/>
        <v>2.9679999999999977E-2</v>
      </c>
      <c r="P21">
        <f t="shared" si="4"/>
        <v>2.240000000000002E-3</v>
      </c>
      <c r="Q21">
        <f t="shared" si="5"/>
        <v>2.9159999999999991E-2</v>
      </c>
      <c r="R21">
        <f t="shared" si="6"/>
        <v>3.0000000000000027E-3</v>
      </c>
      <c r="S21">
        <f t="shared" si="7"/>
        <v>4.6623999999999999E-2</v>
      </c>
    </row>
    <row r="22" spans="6:19" x14ac:dyDescent="0.3">
      <c r="F22" s="4">
        <v>7</v>
      </c>
      <c r="G22" s="5">
        <v>0</v>
      </c>
      <c r="H22" s="5">
        <v>0</v>
      </c>
      <c r="I22" s="5">
        <v>1</v>
      </c>
      <c r="J22" s="5">
        <v>1</v>
      </c>
      <c r="K22" s="5">
        <v>1</v>
      </c>
      <c r="L22" s="6">
        <f t="shared" si="2"/>
        <v>338.59177360000001</v>
      </c>
      <c r="O22">
        <f t="shared" si="3"/>
        <v>2.6711999999999968E-3</v>
      </c>
      <c r="P22">
        <f t="shared" si="4"/>
        <v>2.240000000000002E-3</v>
      </c>
      <c r="Q22">
        <f t="shared" si="5"/>
        <v>2.916000000000002E-4</v>
      </c>
      <c r="R22">
        <f t="shared" si="6"/>
        <v>3.0000000000000027E-3</v>
      </c>
      <c r="S22">
        <f t="shared" si="7"/>
        <v>4.0842624000000001E-2</v>
      </c>
    </row>
    <row r="23" spans="6:19" x14ac:dyDescent="0.3">
      <c r="F23" s="4">
        <v>8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6">
        <f t="shared" si="2"/>
        <v>357.69200000000006</v>
      </c>
      <c r="O23">
        <f t="shared" si="3"/>
        <v>0.42399999999999999</v>
      </c>
      <c r="P23">
        <f t="shared" si="4"/>
        <v>3.9424000000000008E-2</v>
      </c>
      <c r="Q23">
        <f t="shared" si="5"/>
        <v>0.32400000000000001</v>
      </c>
      <c r="R23">
        <f t="shared" si="6"/>
        <v>0.15</v>
      </c>
      <c r="S23">
        <f t="shared" si="7"/>
        <v>0.108624</v>
      </c>
    </row>
    <row r="24" spans="6:19" x14ac:dyDescent="0.3">
      <c r="F24" s="4">
        <v>9</v>
      </c>
      <c r="G24" s="5">
        <v>0</v>
      </c>
      <c r="H24" s="5">
        <v>1</v>
      </c>
      <c r="I24" s="5">
        <v>0</v>
      </c>
      <c r="J24" s="5">
        <v>0</v>
      </c>
      <c r="K24" s="5">
        <v>1</v>
      </c>
      <c r="L24" s="6">
        <f t="shared" si="2"/>
        <v>221.14559359999998</v>
      </c>
      <c r="O24">
        <f t="shared" si="3"/>
        <v>3.8159999999999986E-2</v>
      </c>
      <c r="P24">
        <f t="shared" si="4"/>
        <v>3.9424000000000008E-2</v>
      </c>
      <c r="Q24">
        <f t="shared" si="5"/>
        <v>3.2400000000000029E-3</v>
      </c>
      <c r="R24">
        <f t="shared" si="6"/>
        <v>0.15</v>
      </c>
      <c r="S24">
        <f t="shared" si="7"/>
        <v>9.5154623999999993E-2</v>
      </c>
    </row>
    <row r="25" spans="6:19" x14ac:dyDescent="0.3">
      <c r="F25" s="4">
        <v>10</v>
      </c>
      <c r="G25" s="5">
        <v>0</v>
      </c>
      <c r="H25" s="5">
        <v>1</v>
      </c>
      <c r="I25" s="5">
        <v>0</v>
      </c>
      <c r="J25" s="5">
        <v>1</v>
      </c>
      <c r="K25" s="5">
        <v>0</v>
      </c>
      <c r="L25" s="6">
        <f t="shared" si="2"/>
        <v>427.57158399999997</v>
      </c>
      <c r="O25">
        <f t="shared" si="3"/>
        <v>0.42399999999999999</v>
      </c>
      <c r="P25">
        <f t="shared" si="4"/>
        <v>3.9424000000000045E-4</v>
      </c>
      <c r="Q25">
        <f t="shared" si="5"/>
        <v>0.32400000000000001</v>
      </c>
      <c r="R25">
        <f t="shared" si="6"/>
        <v>3.0000000000000027E-3</v>
      </c>
      <c r="S25">
        <f t="shared" si="7"/>
        <v>0.108624</v>
      </c>
    </row>
    <row r="26" spans="6:19" x14ac:dyDescent="0.3">
      <c r="F26" s="4">
        <v>11</v>
      </c>
      <c r="G26" s="5">
        <v>0</v>
      </c>
      <c r="H26" s="5">
        <v>1</v>
      </c>
      <c r="I26" s="5">
        <v>0</v>
      </c>
      <c r="J26" s="5">
        <v>1</v>
      </c>
      <c r="K26" s="5">
        <v>1</v>
      </c>
      <c r="L26" s="6">
        <f t="shared" si="2"/>
        <v>291.02517760000001</v>
      </c>
      <c r="O26">
        <f t="shared" si="3"/>
        <v>3.8159999999999986E-2</v>
      </c>
      <c r="P26">
        <f t="shared" si="4"/>
        <v>3.9424000000000045E-4</v>
      </c>
      <c r="Q26">
        <f t="shared" si="5"/>
        <v>3.2400000000000029E-3</v>
      </c>
      <c r="R26">
        <f t="shared" si="6"/>
        <v>3.0000000000000027E-3</v>
      </c>
      <c r="S26">
        <f t="shared" si="7"/>
        <v>9.5154623999999993E-2</v>
      </c>
    </row>
    <row r="27" spans="6:19" x14ac:dyDescent="0.3">
      <c r="F27" s="4">
        <v>12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6">
        <f t="shared" si="2"/>
        <v>236.08679359999999</v>
      </c>
      <c r="O27">
        <f t="shared" si="3"/>
        <v>2.9679999999999977E-2</v>
      </c>
      <c r="P27">
        <f t="shared" si="4"/>
        <v>3.9424000000000008E-2</v>
      </c>
      <c r="Q27">
        <f t="shared" si="5"/>
        <v>2.9159999999999991E-2</v>
      </c>
      <c r="R27">
        <f t="shared" si="6"/>
        <v>0.15</v>
      </c>
      <c r="S27">
        <f t="shared" si="7"/>
        <v>4.0842624000000001E-2</v>
      </c>
    </row>
    <row r="28" spans="6:19" x14ac:dyDescent="0.3">
      <c r="F28" s="4">
        <v>13</v>
      </c>
      <c r="G28" s="5">
        <v>0</v>
      </c>
      <c r="H28" s="5">
        <v>1</v>
      </c>
      <c r="I28" s="5">
        <v>1</v>
      </c>
      <c r="J28" s="5">
        <v>0</v>
      </c>
      <c r="K28" s="5">
        <v>1</v>
      </c>
      <c r="L28" s="6">
        <f t="shared" si="2"/>
        <v>317.30650079359998</v>
      </c>
      <c r="O28">
        <f t="shared" si="3"/>
        <v>2.6711999999999968E-3</v>
      </c>
      <c r="P28">
        <f t="shared" si="4"/>
        <v>3.9424000000000008E-2</v>
      </c>
      <c r="Q28">
        <f t="shared" si="5"/>
        <v>2.916000000000002E-4</v>
      </c>
      <c r="R28">
        <f t="shared" si="6"/>
        <v>0.15</v>
      </c>
      <c r="S28">
        <f t="shared" si="7"/>
        <v>3.5778138623999999E-2</v>
      </c>
    </row>
    <row r="29" spans="6:19" x14ac:dyDescent="0.3">
      <c r="F29" s="4">
        <v>14</v>
      </c>
      <c r="G29" s="5">
        <v>0</v>
      </c>
      <c r="H29" s="5">
        <v>1</v>
      </c>
      <c r="I29" s="5">
        <v>1</v>
      </c>
      <c r="J29" s="5">
        <v>1</v>
      </c>
      <c r="K29" s="5">
        <v>0</v>
      </c>
      <c r="L29" s="6">
        <f t="shared" si="2"/>
        <v>305.96637759999999</v>
      </c>
      <c r="O29">
        <f t="shared" si="3"/>
        <v>2.9679999999999977E-2</v>
      </c>
      <c r="P29">
        <f t="shared" si="4"/>
        <v>3.9424000000000045E-4</v>
      </c>
      <c r="Q29">
        <f t="shared" si="5"/>
        <v>2.9159999999999991E-2</v>
      </c>
      <c r="R29">
        <f t="shared" si="6"/>
        <v>3.0000000000000027E-3</v>
      </c>
      <c r="S29">
        <f t="shared" si="7"/>
        <v>4.0842624000000001E-2</v>
      </c>
    </row>
    <row r="30" spans="6:19" x14ac:dyDescent="0.3">
      <c r="F30" s="4">
        <v>15</v>
      </c>
      <c r="G30" s="5">
        <v>0</v>
      </c>
      <c r="H30" s="5">
        <v>1</v>
      </c>
      <c r="I30" s="5">
        <v>1</v>
      </c>
      <c r="J30" s="5">
        <v>1</v>
      </c>
      <c r="K30" s="5">
        <v>1</v>
      </c>
      <c r="L30" s="6">
        <f t="shared" si="2"/>
        <v>387.1860847936</v>
      </c>
      <c r="O30">
        <f t="shared" si="3"/>
        <v>2.6711999999999968E-3</v>
      </c>
      <c r="P30">
        <f t="shared" si="4"/>
        <v>3.9424000000000045E-4</v>
      </c>
      <c r="Q30">
        <f t="shared" si="5"/>
        <v>2.916000000000002E-4</v>
      </c>
      <c r="R30">
        <f t="shared" si="6"/>
        <v>3.0000000000000027E-3</v>
      </c>
      <c r="S30">
        <f t="shared" si="7"/>
        <v>3.5778138623999999E-2</v>
      </c>
    </row>
    <row r="31" spans="6:19" x14ac:dyDescent="0.3">
      <c r="F31" s="4">
        <v>16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6">
        <f t="shared" si="2"/>
        <v>198.69159999999999</v>
      </c>
      <c r="O31">
        <f t="shared" si="3"/>
        <v>3.2223999999999982E-2</v>
      </c>
      <c r="P31">
        <f t="shared" si="4"/>
        <v>0.224</v>
      </c>
      <c r="Q31">
        <f t="shared" si="5"/>
        <v>1.6200000000000016E-2</v>
      </c>
      <c r="R31">
        <f t="shared" si="6"/>
        <v>2.6400000000000007E-2</v>
      </c>
      <c r="S31">
        <f t="shared" si="7"/>
        <v>0.124</v>
      </c>
    </row>
    <row r="32" spans="6:19" x14ac:dyDescent="0.3">
      <c r="F32" s="4">
        <v>17</v>
      </c>
      <c r="G32" s="5">
        <v>1</v>
      </c>
      <c r="H32" s="5">
        <v>0</v>
      </c>
      <c r="I32" s="5">
        <v>0</v>
      </c>
      <c r="J32" s="5">
        <v>0</v>
      </c>
      <c r="K32" s="5">
        <v>1</v>
      </c>
      <c r="L32" s="6">
        <f t="shared" si="2"/>
        <v>280.646164</v>
      </c>
      <c r="O32">
        <f t="shared" si="3"/>
        <v>2.9001599999999971E-3</v>
      </c>
      <c r="P32">
        <f t="shared" si="4"/>
        <v>0.224</v>
      </c>
      <c r="Q32">
        <f t="shared" si="5"/>
        <v>1.6200000000000028E-4</v>
      </c>
      <c r="R32">
        <f t="shared" si="6"/>
        <v>2.6400000000000007E-2</v>
      </c>
      <c r="S32">
        <f t="shared" si="7"/>
        <v>0.108624</v>
      </c>
    </row>
    <row r="33" spans="6:19" x14ac:dyDescent="0.3">
      <c r="F33" s="4">
        <v>18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6">
        <f t="shared" si="2"/>
        <v>226.41863999999998</v>
      </c>
      <c r="O33">
        <f t="shared" si="3"/>
        <v>3.2223999999999982E-2</v>
      </c>
      <c r="P33">
        <f t="shared" si="4"/>
        <v>2.240000000000002E-3</v>
      </c>
      <c r="Q33">
        <f t="shared" si="5"/>
        <v>1.6200000000000016E-2</v>
      </c>
      <c r="R33">
        <f t="shared" si="6"/>
        <v>5.2800000000000058E-4</v>
      </c>
      <c r="S33">
        <f t="shared" si="7"/>
        <v>0.124</v>
      </c>
    </row>
    <row r="34" spans="6:19" x14ac:dyDescent="0.3">
      <c r="F34" s="4">
        <v>19</v>
      </c>
      <c r="G34" s="5">
        <v>1</v>
      </c>
      <c r="H34" s="5">
        <v>0</v>
      </c>
      <c r="I34" s="5">
        <v>0</v>
      </c>
      <c r="J34" s="5">
        <v>1</v>
      </c>
      <c r="K34" s="5">
        <v>1</v>
      </c>
      <c r="L34" s="6">
        <f t="shared" si="2"/>
        <v>308.37320399999999</v>
      </c>
      <c r="O34">
        <f t="shared" si="3"/>
        <v>2.9001599999999971E-3</v>
      </c>
      <c r="P34">
        <f t="shared" si="4"/>
        <v>2.240000000000002E-3</v>
      </c>
      <c r="Q34">
        <f t="shared" si="5"/>
        <v>1.6200000000000028E-4</v>
      </c>
      <c r="R34">
        <f t="shared" si="6"/>
        <v>5.2800000000000058E-4</v>
      </c>
      <c r="S34">
        <f t="shared" si="7"/>
        <v>0.108624</v>
      </c>
    </row>
    <row r="35" spans="6:19" x14ac:dyDescent="0.3">
      <c r="F35" s="4">
        <v>20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6">
        <f t="shared" si="2"/>
        <v>291.412372</v>
      </c>
      <c r="O35">
        <f t="shared" si="3"/>
        <v>2.2556799999999969E-3</v>
      </c>
      <c r="P35">
        <f t="shared" si="4"/>
        <v>0.224</v>
      </c>
      <c r="Q35">
        <f t="shared" si="5"/>
        <v>1.4580000000000007E-3</v>
      </c>
      <c r="R35">
        <f t="shared" si="6"/>
        <v>2.6400000000000007E-2</v>
      </c>
      <c r="S35">
        <f t="shared" si="7"/>
        <v>4.6623999999999999E-2</v>
      </c>
    </row>
    <row r="36" spans="6:19" x14ac:dyDescent="0.3">
      <c r="F36" s="4">
        <v>21</v>
      </c>
      <c r="G36" s="5">
        <v>1</v>
      </c>
      <c r="H36" s="5">
        <v>0</v>
      </c>
      <c r="I36" s="5">
        <v>1</v>
      </c>
      <c r="J36" s="5">
        <v>0</v>
      </c>
      <c r="K36" s="5">
        <v>1</v>
      </c>
      <c r="L36" s="6">
        <f t="shared" si="2"/>
        <v>389.36324308000002</v>
      </c>
      <c r="O36">
        <f t="shared" si="3"/>
        <v>2.0301119999999967E-4</v>
      </c>
      <c r="P36">
        <f t="shared" si="4"/>
        <v>0.224</v>
      </c>
      <c r="Q36">
        <f t="shared" si="5"/>
        <v>1.4580000000000021E-5</v>
      </c>
      <c r="R36">
        <f t="shared" si="6"/>
        <v>2.6400000000000007E-2</v>
      </c>
      <c r="S36">
        <f t="shared" si="7"/>
        <v>4.0842624000000001E-2</v>
      </c>
    </row>
    <row r="37" spans="6:19" x14ac:dyDescent="0.3">
      <c r="F37" s="4">
        <v>22</v>
      </c>
      <c r="G37" s="5">
        <v>1</v>
      </c>
      <c r="H37" s="5">
        <v>0</v>
      </c>
      <c r="I37" s="5">
        <v>1</v>
      </c>
      <c r="J37" s="5">
        <v>1</v>
      </c>
      <c r="K37" s="5">
        <v>0</v>
      </c>
      <c r="L37" s="6">
        <f t="shared" si="2"/>
        <v>319.13941199999999</v>
      </c>
      <c r="O37">
        <f t="shared" si="3"/>
        <v>2.2556799999999969E-3</v>
      </c>
      <c r="P37">
        <f t="shared" si="4"/>
        <v>2.240000000000002E-3</v>
      </c>
      <c r="Q37">
        <f t="shared" si="5"/>
        <v>1.4580000000000007E-3</v>
      </c>
      <c r="R37">
        <f t="shared" si="6"/>
        <v>5.2800000000000058E-4</v>
      </c>
      <c r="S37">
        <f t="shared" si="7"/>
        <v>4.6623999999999999E-2</v>
      </c>
    </row>
    <row r="38" spans="6:19" x14ac:dyDescent="0.3">
      <c r="F38" s="4">
        <v>23</v>
      </c>
      <c r="G38" s="5">
        <v>1</v>
      </c>
      <c r="H38" s="5">
        <v>0</v>
      </c>
      <c r="I38" s="5">
        <v>1</v>
      </c>
      <c r="J38" s="5">
        <v>1</v>
      </c>
      <c r="K38" s="5">
        <v>1</v>
      </c>
      <c r="L38" s="6">
        <f t="shared" si="2"/>
        <v>417.09028308000001</v>
      </c>
      <c r="O38">
        <f t="shared" si="3"/>
        <v>2.0301119999999967E-4</v>
      </c>
      <c r="P38">
        <f t="shared" si="4"/>
        <v>2.240000000000002E-3</v>
      </c>
      <c r="Q38">
        <f t="shared" si="5"/>
        <v>1.4580000000000021E-5</v>
      </c>
      <c r="R38">
        <f t="shared" si="6"/>
        <v>5.2800000000000058E-4</v>
      </c>
      <c r="S38">
        <f t="shared" si="7"/>
        <v>4.0842624000000001E-2</v>
      </c>
    </row>
    <row r="39" spans="6:19" x14ac:dyDescent="0.3">
      <c r="F39" s="46">
        <v>24</v>
      </c>
      <c r="G39" s="47">
        <v>1</v>
      </c>
      <c r="H39" s="47">
        <v>1</v>
      </c>
      <c r="I39" s="47">
        <v>0</v>
      </c>
      <c r="J39" s="47">
        <v>0</v>
      </c>
      <c r="K39" s="47">
        <v>0</v>
      </c>
      <c r="L39" s="48">
        <f t="shared" si="2"/>
        <v>181.78360000000001</v>
      </c>
      <c r="O39">
        <f t="shared" si="3"/>
        <v>3.2223999999999982E-2</v>
      </c>
      <c r="P39">
        <f t="shared" si="4"/>
        <v>3.9424000000000008E-2</v>
      </c>
      <c r="Q39">
        <f t="shared" si="5"/>
        <v>1.6200000000000016E-2</v>
      </c>
      <c r="R39">
        <f t="shared" si="6"/>
        <v>2.6400000000000007E-2</v>
      </c>
      <c r="S39">
        <f t="shared" si="7"/>
        <v>0.108624</v>
      </c>
    </row>
    <row r="40" spans="6:19" x14ac:dyDescent="0.3">
      <c r="F40" s="4">
        <v>25</v>
      </c>
      <c r="G40" s="5">
        <v>1</v>
      </c>
      <c r="H40" s="5">
        <v>1</v>
      </c>
      <c r="I40" s="5">
        <v>0</v>
      </c>
      <c r="J40" s="5">
        <v>0</v>
      </c>
      <c r="K40" s="5">
        <v>1</v>
      </c>
      <c r="L40" s="6">
        <f t="shared" si="2"/>
        <v>264.02415760000002</v>
      </c>
      <c r="O40">
        <f t="shared" si="3"/>
        <v>2.9001599999999971E-3</v>
      </c>
      <c r="P40">
        <f t="shared" si="4"/>
        <v>3.9424000000000008E-2</v>
      </c>
      <c r="Q40">
        <f t="shared" si="5"/>
        <v>1.6200000000000028E-4</v>
      </c>
      <c r="R40">
        <f t="shared" si="6"/>
        <v>2.6400000000000007E-2</v>
      </c>
      <c r="S40">
        <f t="shared" si="7"/>
        <v>9.5154623999999993E-2</v>
      </c>
    </row>
    <row r="41" spans="6:19" x14ac:dyDescent="0.3">
      <c r="F41" s="4">
        <v>26</v>
      </c>
      <c r="G41" s="5">
        <v>1</v>
      </c>
      <c r="H41" s="5">
        <v>1</v>
      </c>
      <c r="I41" s="5">
        <v>0</v>
      </c>
      <c r="J41" s="5">
        <v>1</v>
      </c>
      <c r="K41" s="5">
        <v>0</v>
      </c>
      <c r="L41" s="6">
        <f t="shared" si="2"/>
        <v>273.46622400000001</v>
      </c>
      <c r="O41">
        <f t="shared" si="3"/>
        <v>3.2223999999999982E-2</v>
      </c>
      <c r="P41">
        <f t="shared" si="4"/>
        <v>3.9424000000000045E-4</v>
      </c>
      <c r="Q41">
        <f t="shared" si="5"/>
        <v>1.6200000000000016E-2</v>
      </c>
      <c r="R41">
        <f t="shared" si="6"/>
        <v>5.2800000000000058E-4</v>
      </c>
      <c r="S41">
        <f t="shared" si="7"/>
        <v>0.108624</v>
      </c>
    </row>
    <row r="42" spans="6:19" x14ac:dyDescent="0.3">
      <c r="F42" s="4">
        <v>27</v>
      </c>
      <c r="G42" s="5">
        <v>1</v>
      </c>
      <c r="H42" s="5">
        <v>1</v>
      </c>
      <c r="I42" s="5">
        <v>0</v>
      </c>
      <c r="J42" s="5">
        <v>1</v>
      </c>
      <c r="K42" s="5">
        <v>1</v>
      </c>
      <c r="L42" s="6">
        <f t="shared" si="2"/>
        <v>355.7067816</v>
      </c>
      <c r="O42">
        <f t="shared" si="3"/>
        <v>2.9001599999999971E-3</v>
      </c>
      <c r="P42">
        <f t="shared" si="4"/>
        <v>3.9424000000000045E-4</v>
      </c>
      <c r="Q42">
        <f t="shared" si="5"/>
        <v>1.6200000000000028E-4</v>
      </c>
      <c r="R42">
        <f t="shared" si="6"/>
        <v>5.2800000000000058E-4</v>
      </c>
      <c r="S42">
        <f t="shared" si="7"/>
        <v>9.5154623999999993E-2</v>
      </c>
    </row>
    <row r="43" spans="6:19" x14ac:dyDescent="0.3">
      <c r="F43" s="4">
        <v>28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6">
        <f t="shared" si="2"/>
        <v>275.9435656</v>
      </c>
      <c r="O43">
        <f t="shared" si="3"/>
        <v>2.2556799999999969E-3</v>
      </c>
      <c r="P43">
        <f t="shared" si="4"/>
        <v>3.9424000000000008E-2</v>
      </c>
      <c r="Q43">
        <f t="shared" si="5"/>
        <v>1.4580000000000007E-3</v>
      </c>
      <c r="R43">
        <f t="shared" si="6"/>
        <v>2.6400000000000007E-2</v>
      </c>
      <c r="S43">
        <f t="shared" si="7"/>
        <v>4.0842624000000001E-2</v>
      </c>
    </row>
    <row r="44" spans="6:19" x14ac:dyDescent="0.3">
      <c r="F44" s="4">
        <v>29</v>
      </c>
      <c r="G44" s="5">
        <v>1</v>
      </c>
      <c r="H44" s="5">
        <v>1</v>
      </c>
      <c r="I44" s="5">
        <v>1</v>
      </c>
      <c r="J44" s="5">
        <v>0</v>
      </c>
      <c r="K44" s="5">
        <v>1</v>
      </c>
      <c r="L44" s="6">
        <f t="shared" si="2"/>
        <v>374.00197027360002</v>
      </c>
      <c r="O44">
        <f t="shared" si="3"/>
        <v>2.0301119999999967E-4</v>
      </c>
      <c r="P44">
        <f t="shared" si="4"/>
        <v>3.9424000000000008E-2</v>
      </c>
      <c r="Q44">
        <f t="shared" si="5"/>
        <v>1.4580000000000021E-5</v>
      </c>
      <c r="R44">
        <f t="shared" si="6"/>
        <v>2.6400000000000007E-2</v>
      </c>
      <c r="S44">
        <f t="shared" si="7"/>
        <v>3.5778138623999999E-2</v>
      </c>
    </row>
    <row r="45" spans="6:19" x14ac:dyDescent="0.3">
      <c r="F45" s="4">
        <v>30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6">
        <f t="shared" si="2"/>
        <v>367.62618959999998</v>
      </c>
      <c r="O45">
        <f t="shared" si="3"/>
        <v>2.2556799999999969E-3</v>
      </c>
      <c r="P45">
        <f t="shared" si="4"/>
        <v>3.9424000000000045E-4</v>
      </c>
      <c r="Q45">
        <f t="shared" si="5"/>
        <v>1.4580000000000007E-3</v>
      </c>
      <c r="R45">
        <f t="shared" si="6"/>
        <v>5.2800000000000058E-4</v>
      </c>
      <c r="S45">
        <f t="shared" si="7"/>
        <v>4.0842624000000001E-2</v>
      </c>
    </row>
    <row r="46" spans="6:19" ht="15" thickBot="1" x14ac:dyDescent="0.35">
      <c r="F46" s="7">
        <v>31</v>
      </c>
      <c r="G46" s="8">
        <v>1</v>
      </c>
      <c r="H46" s="8">
        <v>1</v>
      </c>
      <c r="I46" s="8">
        <v>1</v>
      </c>
      <c r="J46" s="8">
        <v>1</v>
      </c>
      <c r="K46" s="8">
        <v>1</v>
      </c>
      <c r="L46" s="9">
        <f t="shared" si="2"/>
        <v>465.6845942736</v>
      </c>
      <c r="O46">
        <f>(1-$G46*$G$6)*(1-$H46*$H$6)*(1-$I46*$I$6)*(1-$J46*$J$6)*(1-$K46*$K$6)*$C$6</f>
        <v>2.0301119999999967E-4</v>
      </c>
      <c r="P46">
        <f t="shared" si="4"/>
        <v>3.9424000000000045E-4</v>
      </c>
      <c r="Q46">
        <f t="shared" si="5"/>
        <v>1.4580000000000021E-5</v>
      </c>
      <c r="R46">
        <f t="shared" si="6"/>
        <v>5.2800000000000058E-4</v>
      </c>
      <c r="S46">
        <f t="shared" si="7"/>
        <v>3.5778138623999999E-2</v>
      </c>
    </row>
    <row r="47" spans="6:19" x14ac:dyDescent="0.3">
      <c r="L47" s="45">
        <f>MIN(L15:L46)</f>
        <v>181.78360000000001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2025-03-21T13:19:31Z</dcterms:created>
  <dcterms:modified xsi:type="dcterms:W3CDTF">2025-03-21T14:43:09Z</dcterms:modified>
</cp:coreProperties>
</file>