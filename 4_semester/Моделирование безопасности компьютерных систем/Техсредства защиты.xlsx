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Учеба\ИнфоБез\"/>
    </mc:Choice>
  </mc:AlternateContent>
  <xr:revisionPtr revIDLastSave="0" documentId="13_ncr:1_{AD086386-0CEF-4886-A1E3-94EA479830FB}" xr6:coauthVersionLast="47" xr6:coauthVersionMax="47" xr10:uidLastSave="{00000000-0000-0000-0000-000000000000}"/>
  <bookViews>
    <workbookView xWindow="-108" yWindow="-108" windowWidth="23256" windowHeight="13896" activeTab="1" xr2:uid="{40C87684-991B-4C40-8FC5-3787E27D7D92}"/>
  </bookViews>
  <sheets>
    <sheet name="EAN-13" sheetId="1" r:id="rId1"/>
    <sheet name="Заражение вирусом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2" l="1"/>
  <c r="F18" i="2"/>
  <c r="G18" i="2"/>
  <c r="H18" i="2"/>
  <c r="I18" i="2"/>
  <c r="J18" i="2"/>
  <c r="K18" i="2"/>
  <c r="E19" i="2"/>
  <c r="F19" i="2"/>
  <c r="G19" i="2"/>
  <c r="H19" i="2"/>
  <c r="I19" i="2"/>
  <c r="J19" i="2"/>
  <c r="K19" i="2"/>
  <c r="E20" i="2"/>
  <c r="F20" i="2"/>
  <c r="G20" i="2"/>
  <c r="H20" i="2"/>
  <c r="I20" i="2"/>
  <c r="J20" i="2"/>
  <c r="K20" i="2"/>
  <c r="E21" i="2"/>
  <c r="F21" i="2"/>
  <c r="G21" i="2"/>
  <c r="H21" i="2"/>
  <c r="I21" i="2"/>
  <c r="J21" i="2"/>
  <c r="K21" i="2"/>
  <c r="E22" i="2"/>
  <c r="F22" i="2"/>
  <c r="G22" i="2"/>
  <c r="H22" i="2"/>
  <c r="I22" i="2"/>
  <c r="J22" i="2"/>
  <c r="K22" i="2"/>
  <c r="I2" i="2"/>
  <c r="K7" i="2" s="1"/>
  <c r="G2" i="2"/>
  <c r="H2" i="2" s="1"/>
  <c r="E2" i="2"/>
  <c r="C5" i="1"/>
  <c r="C6" i="1" s="1"/>
  <c r="O2" i="1" s="1"/>
  <c r="C4" i="1"/>
  <c r="J2" i="2" l="1"/>
  <c r="F2" i="2"/>
  <c r="E3" i="2" s="1"/>
  <c r="I3" i="2" s="1"/>
  <c r="K8" i="2" s="1"/>
  <c r="J3" i="2" l="1"/>
  <c r="F3" i="2"/>
  <c r="E4" i="2" s="1"/>
  <c r="I4" i="2" s="1"/>
  <c r="K9" i="2" l="1"/>
  <c r="J4" i="2"/>
  <c r="G3" i="2"/>
  <c r="H3" i="2" s="1"/>
  <c r="F4" i="2" l="1"/>
  <c r="E5" i="2" s="1"/>
  <c r="I5" i="2" s="1"/>
  <c r="G4" i="2"/>
  <c r="H4" i="2" s="1"/>
  <c r="J5" i="2" l="1"/>
  <c r="K10" i="2"/>
  <c r="G5" i="2" l="1"/>
  <c r="H5" i="2" s="1"/>
  <c r="F5" i="2"/>
  <c r="E6" i="2" s="1"/>
  <c r="I6" i="2" l="1"/>
  <c r="I7" i="2" s="1"/>
  <c r="K11" i="2" l="1"/>
  <c r="K12" i="2" s="1"/>
  <c r="J6" i="2"/>
  <c r="G6" i="2"/>
  <c r="F6" i="2"/>
  <c r="E7" i="2" s="1"/>
  <c r="J7" i="2" l="1"/>
  <c r="I8" i="2"/>
  <c r="H6" i="2"/>
  <c r="G7" i="2"/>
  <c r="K13" i="2" l="1"/>
  <c r="J8" i="2"/>
  <c r="I9" i="2"/>
  <c r="G8" i="2"/>
  <c r="G9" i="2" s="1"/>
  <c r="G10" i="2" s="1"/>
  <c r="G11" i="2" s="1"/>
  <c r="G12" i="2" s="1"/>
  <c r="G13" i="2" s="1"/>
  <c r="G14" i="2" s="1"/>
  <c r="G15" i="2" s="1"/>
  <c r="G16" i="2" s="1"/>
  <c r="G17" i="2" s="1"/>
  <c r="F7" i="2"/>
  <c r="E8" i="2" s="1"/>
  <c r="I10" i="2" l="1"/>
  <c r="J9" i="2"/>
  <c r="K14" i="2"/>
  <c r="H7" i="2"/>
  <c r="F8" i="2"/>
  <c r="E9" i="2" s="1"/>
  <c r="I11" i="2" l="1"/>
  <c r="J10" i="2"/>
  <c r="K15" i="2"/>
  <c r="F9" i="2"/>
  <c r="E10" i="2" s="1"/>
  <c r="H8" i="2"/>
  <c r="I12" i="2" l="1"/>
  <c r="J11" i="2"/>
  <c r="K16" i="2"/>
  <c r="F10" i="2"/>
  <c r="E11" i="2" s="1"/>
  <c r="H9" i="2"/>
  <c r="K17" i="2" l="1"/>
  <c r="J12" i="2"/>
  <c r="I13" i="2"/>
  <c r="F11" i="2"/>
  <c r="E12" i="2" s="1"/>
  <c r="H10" i="2"/>
  <c r="J13" i="2" l="1"/>
  <c r="I14" i="2"/>
  <c r="F12" i="2"/>
  <c r="E13" i="2" s="1"/>
  <c r="H11" i="2"/>
  <c r="I15" i="2" l="1"/>
  <c r="J14" i="2"/>
  <c r="F13" i="2"/>
  <c r="E14" i="2" s="1"/>
  <c r="H12" i="2"/>
  <c r="J15" i="2" l="1"/>
  <c r="I16" i="2"/>
  <c r="F14" i="2"/>
  <c r="E15" i="2" s="1"/>
  <c r="H13" i="2"/>
  <c r="I17" i="2" l="1"/>
  <c r="J17" i="2" s="1"/>
  <c r="J16" i="2"/>
  <c r="F15" i="2"/>
  <c r="E16" i="2" s="1"/>
  <c r="H14" i="2"/>
  <c r="F16" i="2" l="1"/>
  <c r="E17" i="2" s="1"/>
  <c r="F17" i="2" s="1"/>
  <c r="H15" i="2"/>
  <c r="H16" i="2" l="1"/>
  <c r="H17" i="2" s="1"/>
</calcChain>
</file>

<file path=xl/sharedStrings.xml><?xml version="1.0" encoding="utf-8"?>
<sst xmlns="http://schemas.openxmlformats.org/spreadsheetml/2006/main" count="17" uniqueCount="15">
  <si>
    <t>Сумма нечетных</t>
  </si>
  <si>
    <t>Сумма четных</t>
  </si>
  <si>
    <t>Сумма</t>
  </si>
  <si>
    <t>Общее количество</t>
  </si>
  <si>
    <t>i</t>
  </si>
  <si>
    <t>С карантином</t>
  </si>
  <si>
    <t>Начальное заражение</t>
  </si>
  <si>
    <t>Связность</t>
  </si>
  <si>
    <t>Вер-ть заражени</t>
  </si>
  <si>
    <t>При карантине</t>
  </si>
  <si>
    <t>Nб(i)</t>
  </si>
  <si>
    <t>Nз(i)</t>
  </si>
  <si>
    <t>С иммунитетом</t>
  </si>
  <si>
    <t>Иммунизировано</t>
  </si>
  <si>
    <t>Период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</si>
</sst>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" fontId="0" fillId="0" borderId="0" xfId="0" applyNumberForma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'Заражение вирусом'!$E$1</c:f>
              <c:strCache>
                <c:ptCount val="1"/>
                <c:pt idx="0">
                  <c:v>Nб(i)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'Заражение вирусом'!$D$2:$D$22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'Заражение вирусом'!$E$2:$E$22</c:f>
              <c:numCache>
                <c:formatCode>0</c:formatCode>
                <c:ptCount val="21"/>
                <c:pt idx="0" formatCode="General">
                  <c:v>24</c:v>
                </c:pt>
                <c:pt idx="1">
                  <c:v>35.712000000000003</c:v>
                </c:pt>
                <c:pt idx="2">
                  <c:v>52.930326528000009</c:v>
                </c:pt>
                <c:pt idx="3">
                  <c:v>77.994680058819668</c:v>
                </c:pt>
                <c:pt idx="4">
                  <c:v>113.95043502949068</c:v>
                </c:pt>
                <c:pt idx="5">
                  <c:v>164.43330172253093</c:v>
                </c:pt>
                <c:pt idx="6">
                  <c:v>233.13079722610996</c:v>
                </c:pt>
                <c:pt idx="7">
                  <c:v>322.52121153152416</c:v>
                </c:pt>
                <c:pt idx="8">
                  <c:v>431.77185135340517</c:v>
                </c:pt>
                <c:pt idx="9">
                  <c:v>554.44431121953426</c:v>
                </c:pt>
                <c:pt idx="10">
                  <c:v>677.96221970744955</c:v>
                </c:pt>
                <c:pt idx="11">
                  <c:v>787.12694388584828</c:v>
                </c:pt>
                <c:pt idx="12">
                  <c:v>870.90600293323473</c:v>
                </c:pt>
                <c:pt idx="13">
                  <c:v>927.12037142728036</c:v>
                </c:pt>
                <c:pt idx="14">
                  <c:v>960.90446558319138</c:v>
                </c:pt>
                <c:pt idx="15">
                  <c:v>979.6880023859278</c:v>
                </c:pt>
                <c:pt idx="16">
                  <c:v>989.63771256942687</c:v>
                </c:pt>
                <c:pt idx="17">
                  <c:v>994.76516778431653</c:v>
                </c:pt>
                <c:pt idx="18">
                  <c:v>997.36888215799513</c:v>
                </c:pt>
                <c:pt idx="19">
                  <c:v>998.68097968844836</c:v>
                </c:pt>
                <c:pt idx="20">
                  <c:v>999.33961993693299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7E-4294-8674-D43E8459AE91}"/>
            </c:ext>
          </c:extLst>
        </c:ser>
        <c:ser>
          <c:idx val="1"/>
          <c:order val="1"/>
          <c:tx>
            <c:strRef>
              <c:f>'Заражение вирусом'!$G$1</c:f>
              <c:strCache>
                <c:ptCount val="1"/>
                <c:pt idx="0">
                  <c:v>С карантином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'Заражение вирусом'!$D$2:$D$22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'Заражение вирусом'!$G$2:$G$22</c:f>
              <c:numCache>
                <c:formatCode>0</c:formatCode>
                <c:ptCount val="21"/>
                <c:pt idx="0" formatCode="General">
                  <c:v>24</c:v>
                </c:pt>
                <c:pt idx="1">
                  <c:v>35.712000000000003</c:v>
                </c:pt>
                <c:pt idx="2">
                  <c:v>52.930326528000009</c:v>
                </c:pt>
                <c:pt idx="3">
                  <c:v>77.994680058819668</c:v>
                </c:pt>
                <c:pt idx="4">
                  <c:v>113.95043502949068</c:v>
                </c:pt>
                <c:pt idx="5">
                  <c:v>144.24015504531482</c:v>
                </c:pt>
                <c:pt idx="6">
                  <c:v>181.27063486066032</c:v>
                </c:pt>
                <c:pt idx="7">
                  <c:v>225.79411240002236</c:v>
                </c:pt>
                <c:pt idx="8">
                  <c:v>278.23745176167489</c:v>
                </c:pt>
                <c:pt idx="9">
                  <c:v>338.48386342132824</c:v>
                </c:pt>
                <c:pt idx="10">
                  <c:v>405.65762470873818</c:v>
                </c:pt>
                <c:pt idx="11">
                  <c:v>477.987479576059</c:v>
                </c:pt>
                <c:pt idx="12">
                  <c:v>552.84211425943465</c:v>
                </c:pt>
                <c:pt idx="13">
                  <c:v>627.00442754761252</c:v>
                </c:pt>
                <c:pt idx="14">
                  <c:v>697.16539016260344</c:v>
                </c:pt>
                <c:pt idx="15">
                  <c:v>760.50313283921196</c:v>
                </c:pt>
                <c:pt idx="16">
                  <c:v>815.14456817349878</c:v>
                </c:pt>
                <c:pt idx="17">
                  <c:v>860.34973851872053</c:v>
                </c:pt>
                <c:pt idx="18">
                  <c:v>896.39415830356745</c:v>
                </c:pt>
                <c:pt idx="19">
                  <c:v>924.25565968240937</c:v>
                </c:pt>
                <c:pt idx="20">
                  <c:v>945.2578002506425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7E-4294-8674-D43E8459AE91}"/>
            </c:ext>
          </c:extLst>
        </c:ser>
        <c:ser>
          <c:idx val="2"/>
          <c:order val="2"/>
          <c:tx>
            <c:strRef>
              <c:f>'Заражение вирусом'!$I$1</c:f>
              <c:strCache>
                <c:ptCount val="1"/>
                <c:pt idx="0">
                  <c:v>С иммунитетом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'Заражение вирусом'!$D$2:$D$22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'Заражение вирусом'!$I$2:$I$22</c:f>
              <c:numCache>
                <c:formatCode>0</c:formatCode>
                <c:ptCount val="21"/>
                <c:pt idx="0" formatCode="General">
                  <c:v>24</c:v>
                </c:pt>
                <c:pt idx="1">
                  <c:v>35.712000000000003</c:v>
                </c:pt>
                <c:pt idx="2">
                  <c:v>52.930326528000009</c:v>
                </c:pt>
                <c:pt idx="3">
                  <c:v>77.994680058819668</c:v>
                </c:pt>
                <c:pt idx="4">
                  <c:v>113.95043502949068</c:v>
                </c:pt>
                <c:pt idx="5">
                  <c:v>144.24015504531482</c:v>
                </c:pt>
                <c:pt idx="6">
                  <c:v>180.23210574433406</c:v>
                </c:pt>
                <c:pt idx="7">
                  <c:v>221.32804803586154</c:v>
                </c:pt>
                <c:pt idx="8">
                  <c:v>265.55135911541248</c:v>
                </c:pt>
                <c:pt idx="9">
                  <c:v>308.87433469257627</c:v>
                </c:pt>
                <c:pt idx="10">
                  <c:v>344.69185569532914</c:v>
                </c:pt>
                <c:pt idx="11">
                  <c:v>366.0435046349499</c:v>
                </c:pt>
                <c:pt idx="12">
                  <c:v>366.5812364118151</c:v>
                </c:pt>
                <c:pt idx="13">
                  <c:v>342.72020857266767</c:v>
                </c:pt>
                <c:pt idx="14">
                  <c:v>295.56266342068454</c:v>
                </c:pt>
                <c:pt idx="15">
                  <c:v>231.68777910636942</c:v>
                </c:pt>
                <c:pt idx="16">
                  <c:v>162.09851882373593</c:v>
                </c:pt>
                <c:pt idx="17">
                  <c:v>98.994506099932323</c:v>
                </c:pt>
                <c:pt idx="18">
                  <c:v>51.443745976782083</c:v>
                </c:pt>
                <c:pt idx="19">
                  <c:v>22.178005995604128</c:v>
                </c:pt>
                <c:pt idx="20">
                  <c:v>7.7894196854451607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7E-4294-8674-D43E8459A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7100639"/>
        <c:axId val="817097759"/>
      </c:lineChart>
      <c:catAx>
        <c:axId val="81710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7097759"/>
        <c:crosses val="autoZero"/>
        <c:auto val="1"/>
        <c:lblAlgn val="ctr"/>
        <c:lblOffset val="100"/>
        <c:noMultiLvlLbl val="0"/>
      </c:catAx>
      <c:valAx>
        <c:axId val="81709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710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182880</xdr:colOff>
      <xdr:row>3</xdr:row>
      <xdr:rowOff>106680</xdr:rowOff>
    </xdr:from>
    <xdr:to>
      <xdr:col>18</xdr:col>
      <xdr:colOff>487680</xdr:colOff>
      <xdr:row>18</xdr:row>
      <xdr:rowOff>106680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3D1C285-04DB-0FF9-98D9-822B1328CB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67104-6F0E-42CD-8807-E24B4B60C3E0}">
  <dimension ref="B2:O6"/>
  <sheetViews>
    <sheetView workbookViewId="0">
      <selection activeCell="C6" sqref="C6"/>
    </sheetView>
  </sheetViews>
  <sheetFormatPr defaultRowHeight="14.4" x14ac:dyDescent="0.3"/>
  <cols>
    <col min="2" max="2" width="15.33203125" bestFit="1" customWidth="1"/>
  </cols>
  <sheetData>
    <row r="2" spans="2:15" x14ac:dyDescent="0.3">
      <c r="C2" s="1">
        <v>4</v>
      </c>
      <c r="D2" s="1">
        <v>6</v>
      </c>
      <c r="E2" s="1">
        <v>0</v>
      </c>
      <c r="F2" s="1">
        <v>6</v>
      </c>
      <c r="G2" s="1">
        <v>7</v>
      </c>
      <c r="H2" s="1">
        <v>8</v>
      </c>
      <c r="I2" s="1">
        <v>2</v>
      </c>
      <c r="J2" s="1">
        <v>3</v>
      </c>
      <c r="K2" s="1">
        <v>4</v>
      </c>
      <c r="L2" s="1">
        <v>6</v>
      </c>
      <c r="M2" s="1">
        <v>6</v>
      </c>
      <c r="N2" s="1">
        <v>1</v>
      </c>
      <c r="O2" s="2">
        <f>10-MOD(C6,10)</f>
        <v>7</v>
      </c>
    </row>
    <row r="4" spans="2:15" x14ac:dyDescent="0.3">
      <c r="B4" s="3" t="s">
        <v>0</v>
      </c>
      <c r="C4" s="3">
        <f>MOD(SUM(C2,E2,G2,I2,K2,M2),10)</f>
        <v>3</v>
      </c>
    </row>
    <row r="5" spans="2:15" x14ac:dyDescent="0.3">
      <c r="B5" s="3" t="s">
        <v>1</v>
      </c>
      <c r="C5" s="3">
        <f>MOD(SUM(D2,F2,H2,J2,L2,N2)*3,10)</f>
        <v>0</v>
      </c>
    </row>
    <row r="6" spans="2:15" x14ac:dyDescent="0.3">
      <c r="B6" s="3" t="s">
        <v>2</v>
      </c>
      <c r="C6" s="3">
        <f>SUM(C4:C5)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109DF-6F5A-4446-BE61-EA469185F7BC}">
  <dimension ref="A1:K22"/>
  <sheetViews>
    <sheetView tabSelected="1" workbookViewId="0">
      <selection activeCell="Q2" sqref="Q2"/>
    </sheetView>
  </sheetViews>
  <sheetFormatPr defaultRowHeight="14.4" x14ac:dyDescent="0.3"/>
  <cols>
    <col min="1" max="1" width="20.33203125" bestFit="1" customWidth="1"/>
    <col min="7" max="7" width="13.109375" bestFit="1" customWidth="1"/>
    <col min="8" max="8" width="12.77734375" bestFit="1" customWidth="1"/>
    <col min="9" max="10" width="14.5546875" bestFit="1" customWidth="1"/>
    <col min="11" max="11" width="16.5546875" bestFit="1" customWidth="1"/>
  </cols>
  <sheetData>
    <row r="1" spans="1:11" x14ac:dyDescent="0.3">
      <c r="A1" s="9" t="s">
        <v>3</v>
      </c>
      <c r="B1" s="9">
        <v>1000</v>
      </c>
      <c r="D1" s="5" t="s">
        <v>4</v>
      </c>
      <c r="E1" s="6" t="s">
        <v>10</v>
      </c>
      <c r="F1" s="6" t="s">
        <v>11</v>
      </c>
      <c r="G1" s="7" t="s">
        <v>5</v>
      </c>
      <c r="H1" s="7" t="s">
        <v>5</v>
      </c>
      <c r="I1" s="8" t="s">
        <v>12</v>
      </c>
      <c r="J1" s="8" t="s">
        <v>12</v>
      </c>
      <c r="K1" s="8" t="s">
        <v>13</v>
      </c>
    </row>
    <row r="2" spans="1:11" x14ac:dyDescent="0.3">
      <c r="A2" s="9" t="s">
        <v>6</v>
      </c>
      <c r="B2" s="9">
        <v>24</v>
      </c>
      <c r="D2">
        <v>0</v>
      </c>
      <c r="E2">
        <f>B2</f>
        <v>24</v>
      </c>
      <c r="F2">
        <f>$B$1-E2</f>
        <v>976</v>
      </c>
      <c r="G2">
        <f>B2</f>
        <v>24</v>
      </c>
      <c r="H2" s="4">
        <f t="shared" ref="H2:J6" si="0">$B$1-G2</f>
        <v>976</v>
      </c>
      <c r="I2">
        <f>B2</f>
        <v>24</v>
      </c>
      <c r="J2" s="4">
        <f>$B$1-I2</f>
        <v>976</v>
      </c>
      <c r="K2">
        <v>0</v>
      </c>
    </row>
    <row r="3" spans="1:11" x14ac:dyDescent="0.3">
      <c r="A3" s="9" t="s">
        <v>7</v>
      </c>
      <c r="B3" s="9">
        <v>5</v>
      </c>
      <c r="D3">
        <v>1</v>
      </c>
      <c r="E3" s="4">
        <f>E2+(E2*$B$3*$B$4*F2/$B$1)</f>
        <v>35.712000000000003</v>
      </c>
      <c r="F3" s="4">
        <f>$B$1-E3</f>
        <v>964.28800000000001</v>
      </c>
      <c r="G3" s="4">
        <f>E3</f>
        <v>35.712000000000003</v>
      </c>
      <c r="H3" s="4">
        <f t="shared" si="0"/>
        <v>964.28800000000001</v>
      </c>
      <c r="I3" s="4">
        <f>E3</f>
        <v>35.712000000000003</v>
      </c>
      <c r="J3" s="4">
        <f t="shared" si="0"/>
        <v>964.28800000000001</v>
      </c>
      <c r="K3">
        <v>0</v>
      </c>
    </row>
    <row r="4" spans="1:11" x14ac:dyDescent="0.3">
      <c r="A4" s="9" t="s">
        <v>8</v>
      </c>
      <c r="B4" s="9">
        <v>0.1</v>
      </c>
      <c r="D4">
        <v>2</v>
      </c>
      <c r="E4" s="4">
        <f t="shared" ref="E4:E17" si="1">E3+(E3*$B$3*$B$4*F3/$B$1)</f>
        <v>52.930326528000009</v>
      </c>
      <c r="F4" s="4">
        <f>$B$1-E4</f>
        <v>947.06967347199998</v>
      </c>
      <c r="G4" s="4">
        <f t="shared" ref="G4:G7" si="2">E4</f>
        <v>52.930326528000009</v>
      </c>
      <c r="H4" s="4">
        <f t="shared" si="0"/>
        <v>947.06967347199998</v>
      </c>
      <c r="I4" s="4">
        <f t="shared" ref="I4:I6" si="3">E4</f>
        <v>52.930326528000009</v>
      </c>
      <c r="J4" s="4">
        <f t="shared" ref="J4" si="4">$B$1-I4</f>
        <v>947.06967347199998</v>
      </c>
      <c r="K4">
        <v>0</v>
      </c>
    </row>
    <row r="5" spans="1:11" x14ac:dyDescent="0.3">
      <c r="A5" s="9" t="s">
        <v>9</v>
      </c>
      <c r="B5" s="9">
        <v>3</v>
      </c>
      <c r="D5">
        <v>3</v>
      </c>
      <c r="E5" s="4">
        <f t="shared" si="1"/>
        <v>77.994680058819668</v>
      </c>
      <c r="F5" s="4">
        <f t="shared" ref="F3:F17" si="5">$B$1-E5</f>
        <v>922.00531994118035</v>
      </c>
      <c r="G5" s="4">
        <f t="shared" si="2"/>
        <v>77.994680058819668</v>
      </c>
      <c r="H5" s="4">
        <f t="shared" si="0"/>
        <v>922.00531994118035</v>
      </c>
      <c r="I5" s="4">
        <f t="shared" si="3"/>
        <v>77.994680058819668</v>
      </c>
      <c r="J5" s="4">
        <f t="shared" ref="J5" si="6">$B$1-I5</f>
        <v>922.00531994118035</v>
      </c>
      <c r="K5">
        <v>0</v>
      </c>
    </row>
    <row r="6" spans="1:11" x14ac:dyDescent="0.3">
      <c r="A6" s="9" t="s">
        <v>14</v>
      </c>
      <c r="B6" s="9">
        <v>5</v>
      </c>
      <c r="D6">
        <v>4</v>
      </c>
      <c r="E6" s="4">
        <f t="shared" si="1"/>
        <v>113.95043502949068</v>
      </c>
      <c r="F6" s="4">
        <f>$B$1-E6</f>
        <v>886.04956497050932</v>
      </c>
      <c r="G6" s="4">
        <f t="shared" si="2"/>
        <v>113.95043502949068</v>
      </c>
      <c r="H6" s="4">
        <f t="shared" si="0"/>
        <v>886.04956497050932</v>
      </c>
      <c r="I6" s="4">
        <f t="shared" si="3"/>
        <v>113.95043502949068</v>
      </c>
      <c r="J6" s="4">
        <f t="shared" ref="J6" si="7">$B$1-I6</f>
        <v>886.04956497050932</v>
      </c>
      <c r="K6">
        <v>0</v>
      </c>
    </row>
    <row r="7" spans="1:11" x14ac:dyDescent="0.3">
      <c r="D7">
        <v>5</v>
      </c>
      <c r="E7" s="4">
        <f>E6+(E6*$B$3*$B$4*F6/$B$1)</f>
        <v>164.43330172253093</v>
      </c>
      <c r="F7" s="4">
        <f t="shared" si="5"/>
        <v>835.56669827746907</v>
      </c>
      <c r="G7" s="4">
        <f>G6+(G6*$B$5*$B$4*($B$1-G6)/$B$1)</f>
        <v>144.24015504531482</v>
      </c>
      <c r="H7" s="4">
        <f>$B$1-G7</f>
        <v>855.75984495468515</v>
      </c>
      <c r="I7" s="4">
        <f>I6+(I6*$B$5*$B$4*($B$1-I6-K6)/$B$1)</f>
        <v>144.24015504531482</v>
      </c>
      <c r="J7" s="4">
        <f t="shared" ref="J7" si="8">$B$1-I7</f>
        <v>855.75984495468515</v>
      </c>
      <c r="K7">
        <f>K6+I2</f>
        <v>24</v>
      </c>
    </row>
    <row r="8" spans="1:11" x14ac:dyDescent="0.3">
      <c r="D8">
        <v>6</v>
      </c>
      <c r="E8" s="4">
        <f>E7+(E7*$B$3*$B$4*F7/$B$1)</f>
        <v>233.13079722610996</v>
      </c>
      <c r="F8" s="4">
        <f>$B$1-E8</f>
        <v>766.86920277389004</v>
      </c>
      <c r="G8" s="4">
        <f>G7+(G7*$B$5*$B$4*($B$1-G7)/$B$1)</f>
        <v>181.27063486066032</v>
      </c>
      <c r="H8" s="4">
        <f t="shared" ref="H8:H17" si="9">$B$1-G8</f>
        <v>818.72936513933973</v>
      </c>
      <c r="I8" s="4">
        <f>I7+(I7*$B$5*$B$4*($B$1-I7-K7)/$B$1)</f>
        <v>180.23210574433406</v>
      </c>
      <c r="J8" s="4">
        <f t="shared" ref="J8" si="10">$B$1-I8</f>
        <v>819.76789425566596</v>
      </c>
      <c r="K8" s="4">
        <f>K7+I3</f>
        <v>59.712000000000003</v>
      </c>
    </row>
    <row r="9" spans="1:11" x14ac:dyDescent="0.3">
      <c r="D9">
        <v>7</v>
      </c>
      <c r="E9" s="4">
        <f t="shared" si="1"/>
        <v>322.52121153152416</v>
      </c>
      <c r="F9" s="4">
        <f t="shared" si="5"/>
        <v>677.47878846847584</v>
      </c>
      <c r="G9" s="4">
        <f t="shared" ref="G9:G17" si="11">G8+(G8*$B$5*$B$4*($B$1-G8)/$B$1)</f>
        <v>225.79411240002236</v>
      </c>
      <c r="H9" s="4">
        <f t="shared" si="9"/>
        <v>774.20588759997759</v>
      </c>
      <c r="I9" s="4">
        <f t="shared" ref="I9:I17" si="12">I8+(I8*$B$5*$B$4*($B$1-I8-K8)/$B$1)</f>
        <v>221.32804803586154</v>
      </c>
      <c r="J9" s="4">
        <f t="shared" ref="J9" si="13">$B$1-I9</f>
        <v>778.67195196413843</v>
      </c>
      <c r="K9" s="4">
        <f t="shared" ref="K9:K17" si="14">K8+I4</f>
        <v>112.64232652800001</v>
      </c>
    </row>
    <row r="10" spans="1:11" x14ac:dyDescent="0.3">
      <c r="D10">
        <v>8</v>
      </c>
      <c r="E10" s="4">
        <f t="shared" si="1"/>
        <v>431.77185135340517</v>
      </c>
      <c r="F10" s="4">
        <f t="shared" si="5"/>
        <v>568.22814864659483</v>
      </c>
      <c r="G10" s="4">
        <f t="shared" si="11"/>
        <v>278.23745176167489</v>
      </c>
      <c r="H10" s="4">
        <f t="shared" si="9"/>
        <v>721.76254823832505</v>
      </c>
      <c r="I10" s="4">
        <f t="shared" si="12"/>
        <v>265.55135911541248</v>
      </c>
      <c r="J10" s="4">
        <f t="shared" ref="J10" si="15">$B$1-I10</f>
        <v>734.44864088458758</v>
      </c>
      <c r="K10" s="4">
        <f t="shared" si="14"/>
        <v>190.63700658681967</v>
      </c>
    </row>
    <row r="11" spans="1:11" x14ac:dyDescent="0.3">
      <c r="D11">
        <v>9</v>
      </c>
      <c r="E11" s="4">
        <f t="shared" si="1"/>
        <v>554.44431121953426</v>
      </c>
      <c r="F11" s="4">
        <f t="shared" si="5"/>
        <v>445.55568878046574</v>
      </c>
      <c r="G11" s="4">
        <f t="shared" si="11"/>
        <v>338.48386342132824</v>
      </c>
      <c r="H11" s="4">
        <f t="shared" si="9"/>
        <v>661.51613657867176</v>
      </c>
      <c r="I11" s="4">
        <f t="shared" si="12"/>
        <v>308.87433469257627</v>
      </c>
      <c r="J11" s="4">
        <f t="shared" ref="J11" si="16">$B$1-I11</f>
        <v>691.12566530742379</v>
      </c>
      <c r="K11" s="4">
        <f t="shared" si="14"/>
        <v>304.58744161631034</v>
      </c>
    </row>
    <row r="12" spans="1:11" x14ac:dyDescent="0.3">
      <c r="D12">
        <v>10</v>
      </c>
      <c r="E12" s="4">
        <f t="shared" si="1"/>
        <v>677.96221970744955</v>
      </c>
      <c r="F12" s="4">
        <f t="shared" si="5"/>
        <v>322.03778029255045</v>
      </c>
      <c r="G12" s="4">
        <f t="shared" si="11"/>
        <v>405.65762470873818</v>
      </c>
      <c r="H12" s="4">
        <f t="shared" si="9"/>
        <v>594.34237529126176</v>
      </c>
      <c r="I12" s="4">
        <f t="shared" si="12"/>
        <v>344.69185569532914</v>
      </c>
      <c r="J12" s="4">
        <f t="shared" ref="J12" si="17">$B$1-I12</f>
        <v>655.3081443046708</v>
      </c>
      <c r="K12" s="4">
        <f t="shared" si="14"/>
        <v>448.82759666162519</v>
      </c>
    </row>
    <row r="13" spans="1:11" x14ac:dyDescent="0.3">
      <c r="D13">
        <v>11</v>
      </c>
      <c r="E13" s="4">
        <f t="shared" si="1"/>
        <v>787.12694388584828</v>
      </c>
      <c r="F13" s="4">
        <f t="shared" si="5"/>
        <v>212.87305611415172</v>
      </c>
      <c r="G13" s="4">
        <f t="shared" si="11"/>
        <v>477.987479576059</v>
      </c>
      <c r="H13" s="4">
        <f t="shared" si="9"/>
        <v>522.01252042394094</v>
      </c>
      <c r="I13" s="4">
        <f t="shared" si="12"/>
        <v>366.0435046349499</v>
      </c>
      <c r="J13" s="4">
        <f t="shared" ref="J13" si="18">$B$1-I13</f>
        <v>633.95649536505016</v>
      </c>
      <c r="K13" s="4">
        <f t="shared" si="14"/>
        <v>629.05970240595923</v>
      </c>
    </row>
    <row r="14" spans="1:11" x14ac:dyDescent="0.3">
      <c r="D14">
        <v>12</v>
      </c>
      <c r="E14" s="4">
        <f t="shared" si="1"/>
        <v>870.90600293323473</v>
      </c>
      <c r="F14" s="4">
        <f t="shared" si="5"/>
        <v>129.09399706676527</v>
      </c>
      <c r="G14" s="4">
        <f t="shared" si="11"/>
        <v>552.84211425943465</v>
      </c>
      <c r="H14" s="4">
        <f t="shared" si="9"/>
        <v>447.15788574056535</v>
      </c>
      <c r="I14" s="4">
        <f t="shared" si="12"/>
        <v>366.5812364118151</v>
      </c>
      <c r="J14" s="4">
        <f t="shared" ref="J14" si="19">$B$1-I14</f>
        <v>633.4187635881849</v>
      </c>
      <c r="K14" s="4">
        <f t="shared" si="14"/>
        <v>850.3877504418208</v>
      </c>
    </row>
    <row r="15" spans="1:11" x14ac:dyDescent="0.3">
      <c r="D15">
        <v>13</v>
      </c>
      <c r="E15" s="4">
        <f t="shared" si="1"/>
        <v>927.12037142728036</v>
      </c>
      <c r="F15" s="4">
        <f t="shared" si="5"/>
        <v>72.879628572719639</v>
      </c>
      <c r="G15" s="4">
        <f t="shared" si="11"/>
        <v>627.00442754761252</v>
      </c>
      <c r="H15" s="4">
        <f t="shared" si="9"/>
        <v>372.99557245238748</v>
      </c>
      <c r="I15" s="4">
        <f t="shared" si="12"/>
        <v>342.72020857266767</v>
      </c>
      <c r="J15" s="4">
        <f t="shared" ref="J15" si="20">$B$1-I15</f>
        <v>657.27979142733238</v>
      </c>
      <c r="K15" s="4">
        <f t="shared" si="14"/>
        <v>1115.9391095572332</v>
      </c>
    </row>
    <row r="16" spans="1:11" x14ac:dyDescent="0.3">
      <c r="D16">
        <v>14</v>
      </c>
      <c r="E16" s="4">
        <f t="shared" si="1"/>
        <v>960.90446558319138</v>
      </c>
      <c r="F16" s="4">
        <f t="shared" si="5"/>
        <v>39.095534416808619</v>
      </c>
      <c r="G16" s="4">
        <f t="shared" si="11"/>
        <v>697.16539016260344</v>
      </c>
      <c r="H16" s="4">
        <f t="shared" si="9"/>
        <v>302.83460983739656</v>
      </c>
      <c r="I16" s="4">
        <f t="shared" si="12"/>
        <v>295.56266342068454</v>
      </c>
      <c r="J16" s="4">
        <f t="shared" ref="J16" si="21">$B$1-I16</f>
        <v>704.43733657931546</v>
      </c>
      <c r="K16" s="4">
        <f t="shared" si="14"/>
        <v>1424.8134442498094</v>
      </c>
    </row>
    <row r="17" spans="4:11" x14ac:dyDescent="0.3">
      <c r="D17">
        <v>15</v>
      </c>
      <c r="E17" s="4">
        <f t="shared" si="1"/>
        <v>979.6880023859278</v>
      </c>
      <c r="F17" s="4">
        <f t="shared" si="5"/>
        <v>20.311997614072197</v>
      </c>
      <c r="G17" s="4">
        <f t="shared" si="11"/>
        <v>760.50313283921196</v>
      </c>
      <c r="H17" s="4">
        <f>$B$1-G17</f>
        <v>239.49686716078804</v>
      </c>
      <c r="I17" s="4">
        <f t="shared" si="12"/>
        <v>231.68777910636942</v>
      </c>
      <c r="J17" s="4">
        <f t="shared" ref="J17:J22" si="22">$B$1-I17</f>
        <v>768.31222089363064</v>
      </c>
      <c r="K17" s="4">
        <f t="shared" si="14"/>
        <v>1769.5052999451386</v>
      </c>
    </row>
    <row r="18" spans="4:11" x14ac:dyDescent="0.3">
      <c r="D18">
        <v>16</v>
      </c>
      <c r="E18" s="4">
        <f t="shared" ref="E18:E22" si="23">E17+(E17*$B$3*$B$4*F17/$B$1)</f>
        <v>989.63771256942687</v>
      </c>
      <c r="F18" s="4">
        <f t="shared" ref="F18:F22" si="24">$B$1-E18</f>
        <v>10.362287430573133</v>
      </c>
      <c r="G18" s="4">
        <f t="shared" ref="G18:G22" si="25">G17+(G17*$B$5*$B$4*($B$1-G17)/$B$1)</f>
        <v>815.14456817349878</v>
      </c>
      <c r="H18" s="4">
        <f t="shared" ref="H18:H22" si="26">$B$1-G18</f>
        <v>184.85543182650122</v>
      </c>
      <c r="I18" s="4">
        <f t="shared" ref="I18:I22" si="27">I17+(I17*$B$5*$B$4*($B$1-I17-K17)/$B$1)</f>
        <v>162.09851882373593</v>
      </c>
      <c r="J18" s="4">
        <f t="shared" si="22"/>
        <v>837.90148117626404</v>
      </c>
      <c r="K18" s="4">
        <f t="shared" ref="K18:K22" si="28">K17+I13</f>
        <v>2135.5488045800885</v>
      </c>
    </row>
    <row r="19" spans="4:11" x14ac:dyDescent="0.3">
      <c r="D19">
        <v>17</v>
      </c>
      <c r="E19" s="4">
        <f t="shared" si="23"/>
        <v>994.76516778431653</v>
      </c>
      <c r="F19" s="4">
        <f t="shared" si="24"/>
        <v>5.2348322156834683</v>
      </c>
      <c r="G19" s="4">
        <f t="shared" si="25"/>
        <v>860.34973851872053</v>
      </c>
      <c r="H19" s="4">
        <f t="shared" si="26"/>
        <v>139.65026148127947</v>
      </c>
      <c r="I19" s="4">
        <f t="shared" si="27"/>
        <v>98.994506099932323</v>
      </c>
      <c r="J19" s="4">
        <f t="shared" si="22"/>
        <v>901.00549390006768</v>
      </c>
      <c r="K19" s="4">
        <f t="shared" si="28"/>
        <v>2502.1300409919036</v>
      </c>
    </row>
    <row r="20" spans="4:11" x14ac:dyDescent="0.3">
      <c r="D20">
        <v>18</v>
      </c>
      <c r="E20" s="4">
        <f t="shared" si="23"/>
        <v>997.36888215799513</v>
      </c>
      <c r="F20" s="4">
        <f t="shared" si="24"/>
        <v>2.6311178420048691</v>
      </c>
      <c r="G20" s="4">
        <f t="shared" si="25"/>
        <v>896.39415830356745</v>
      </c>
      <c r="H20" s="4">
        <f t="shared" si="26"/>
        <v>103.60584169643255</v>
      </c>
      <c r="I20" s="4">
        <f t="shared" si="27"/>
        <v>51.443745976782083</v>
      </c>
      <c r="J20" s="4">
        <f t="shared" si="22"/>
        <v>948.55625402321789</v>
      </c>
      <c r="K20" s="4">
        <f t="shared" si="28"/>
        <v>2844.8502495645712</v>
      </c>
    </row>
    <row r="21" spans="4:11" x14ac:dyDescent="0.3">
      <c r="D21">
        <v>19</v>
      </c>
      <c r="E21" s="4">
        <f t="shared" si="23"/>
        <v>998.68097968844836</v>
      </c>
      <c r="F21" s="4">
        <f t="shared" si="24"/>
        <v>1.3190203115516397</v>
      </c>
      <c r="G21" s="4">
        <f t="shared" si="25"/>
        <v>924.25565968240937</v>
      </c>
      <c r="H21" s="4">
        <f t="shared" si="26"/>
        <v>75.744340317590627</v>
      </c>
      <c r="I21" s="4">
        <f t="shared" si="27"/>
        <v>22.178005995604128</v>
      </c>
      <c r="J21" s="4">
        <f t="shared" si="22"/>
        <v>977.82199400439583</v>
      </c>
      <c r="K21" s="4">
        <f t="shared" si="28"/>
        <v>3140.4129129852558</v>
      </c>
    </row>
    <row r="22" spans="4:11" x14ac:dyDescent="0.3">
      <c r="D22">
        <v>20</v>
      </c>
      <c r="E22" s="4">
        <f t="shared" si="23"/>
        <v>999.33961993693299</v>
      </c>
      <c r="F22" s="4">
        <f t="shared" si="24"/>
        <v>0.66038006306700936</v>
      </c>
      <c r="G22" s="4">
        <f t="shared" si="25"/>
        <v>945.2578002506425</v>
      </c>
      <c r="H22" s="4">
        <f t="shared" si="26"/>
        <v>54.742199749357496</v>
      </c>
      <c r="I22" s="4">
        <f t="shared" si="27"/>
        <v>7.7894196854451607</v>
      </c>
      <c r="J22" s="4">
        <f t="shared" si="22"/>
        <v>992.21058031455482</v>
      </c>
      <c r="K22" s="4">
        <f t="shared" si="28"/>
        <v>3372.1006920916252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EAN-13</vt:lpstr>
      <vt:lpstr>Заражение вирусом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Pavlov</dc:creator>
  <cp:lastModifiedBy>Nikita Pavlov</cp:lastModifiedBy>
  <dcterms:created xsi:type="dcterms:W3CDTF">2025-03-28T13:40:07Z</dcterms:created>
  <dcterms:modified xsi:type="dcterms:W3CDTF">2025-03-28T14:56:10Z</dcterms:modified>
</cp:coreProperties>
</file>