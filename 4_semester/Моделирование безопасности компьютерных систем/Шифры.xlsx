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Модели\"/>
    </mc:Choice>
  </mc:AlternateContent>
  <xr:revisionPtr revIDLastSave="0" documentId="13_ncr:1_{87B1EC70-8BA7-4A60-95F1-BBC2C42A3D14}" xr6:coauthVersionLast="47" xr6:coauthVersionMax="47" xr10:uidLastSave="{00000000-0000-0000-0000-000000000000}"/>
  <bookViews>
    <workbookView xWindow="1152" yWindow="0" windowWidth="17712" windowHeight="13680" activeTab="1" xr2:uid="{868B8CF2-506E-4B5D-B0A9-ADF1E28772EC}"/>
  </bookViews>
  <sheets>
    <sheet name="Шифр Цезаря" sheetId="1" r:id="rId1"/>
    <sheet name="Шифр Виженер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7" i="2"/>
  <c r="F12" i="2"/>
  <c r="G12" i="2"/>
  <c r="H12" i="2"/>
  <c r="I12" i="2"/>
  <c r="J12" i="2"/>
  <c r="K12" i="2"/>
  <c r="L12" i="2"/>
  <c r="M12" i="2"/>
  <c r="N12" i="2"/>
  <c r="E12" i="2"/>
  <c r="D12" i="2"/>
  <c r="C6" i="2"/>
  <c r="N6" i="2"/>
  <c r="F6" i="2"/>
  <c r="G6" i="2"/>
  <c r="H6" i="2"/>
  <c r="I6" i="2"/>
  <c r="J6" i="2"/>
  <c r="K6" i="2"/>
  <c r="L6" i="2"/>
  <c r="M6" i="2"/>
  <c r="E6" i="2"/>
  <c r="D6" i="2"/>
  <c r="C5" i="2"/>
  <c r="C4" i="2"/>
  <c r="N4" i="2"/>
  <c r="N5" i="2" s="1"/>
  <c r="N7" i="2" s="1"/>
  <c r="N8" i="2" s="1"/>
  <c r="M4" i="2"/>
  <c r="M5" i="2" s="1"/>
  <c r="M7" i="2" s="1"/>
  <c r="M8" i="2" s="1"/>
  <c r="L4" i="2"/>
  <c r="L5" i="2" s="1"/>
  <c r="L7" i="2" s="1"/>
  <c r="L8" i="2" s="1"/>
  <c r="K4" i="2"/>
  <c r="K5" i="2" s="1"/>
  <c r="K7" i="2" s="1"/>
  <c r="K8" i="2" s="1"/>
  <c r="J4" i="2"/>
  <c r="J5" i="2" s="1"/>
  <c r="J7" i="2" s="1"/>
  <c r="J8" i="2" s="1"/>
  <c r="I4" i="2"/>
  <c r="I5" i="2" s="1"/>
  <c r="I7" i="2" s="1"/>
  <c r="I8" i="2" s="1"/>
  <c r="H4" i="2"/>
  <c r="H5" i="2" s="1"/>
  <c r="H7" i="2" s="1"/>
  <c r="H8" i="2" s="1"/>
  <c r="G4" i="2"/>
  <c r="G5" i="2" s="1"/>
  <c r="G7" i="2" s="1"/>
  <c r="G8" i="2" s="1"/>
  <c r="F4" i="2"/>
  <c r="F5" i="2" s="1"/>
  <c r="F7" i="2" s="1"/>
  <c r="F8" i="2" s="1"/>
  <c r="E4" i="2"/>
  <c r="E5" i="2" s="1"/>
  <c r="D4" i="2"/>
  <c r="D5" i="2" s="1"/>
  <c r="G12" i="1"/>
  <c r="H12" i="1"/>
  <c r="I12" i="1"/>
  <c r="J12" i="1"/>
  <c r="K12" i="1"/>
  <c r="L12" i="1"/>
  <c r="M12" i="1"/>
  <c r="N12" i="1"/>
  <c r="O12" i="1"/>
  <c r="P12" i="1"/>
  <c r="Q12" i="1"/>
  <c r="F12" i="1"/>
  <c r="G6" i="1"/>
  <c r="G7" i="1" s="1"/>
  <c r="G8" i="1" s="1"/>
  <c r="H6" i="1"/>
  <c r="H7" i="1" s="1"/>
  <c r="H8" i="1" s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M6" i="1"/>
  <c r="M7" i="1" s="1"/>
  <c r="M8" i="1" s="1"/>
  <c r="N6" i="1"/>
  <c r="N7" i="1" s="1"/>
  <c r="N8" i="1" s="1"/>
  <c r="O6" i="1"/>
  <c r="O7" i="1" s="1"/>
  <c r="O8" i="1" s="1"/>
  <c r="P6" i="1"/>
  <c r="P7" i="1" s="1"/>
  <c r="P8" i="1" s="1"/>
  <c r="Q6" i="1"/>
  <c r="Q7" i="1" s="1"/>
  <c r="Q8" i="1" s="1"/>
  <c r="Q5" i="1"/>
  <c r="G5" i="1"/>
  <c r="H5" i="1"/>
  <c r="I5" i="1"/>
  <c r="J5" i="1"/>
  <c r="K5" i="1"/>
  <c r="L5" i="1"/>
  <c r="M5" i="1"/>
  <c r="N5" i="1"/>
  <c r="O5" i="1"/>
  <c r="P5" i="1"/>
  <c r="G4" i="1"/>
  <c r="H4" i="1"/>
  <c r="I4" i="1"/>
  <c r="J4" i="1"/>
  <c r="K4" i="1"/>
  <c r="L4" i="1"/>
  <c r="M4" i="1"/>
  <c r="N4" i="1"/>
  <c r="O4" i="1"/>
  <c r="P4" i="1"/>
  <c r="Q4" i="1"/>
  <c r="F4" i="1"/>
  <c r="F5" i="1" s="1"/>
  <c r="F6" i="1" s="1"/>
  <c r="F7" i="1" s="1"/>
  <c r="F8" i="1" s="1"/>
  <c r="E7" i="2" l="1"/>
  <c r="E8" i="2" s="1"/>
  <c r="D7" i="2"/>
  <c r="D8" i="2" s="1"/>
  <c r="C8" i="2"/>
</calcChain>
</file>

<file path=xl/sharedStrings.xml><?xml version="1.0" encoding="utf-8"?>
<sst xmlns="http://schemas.openxmlformats.org/spreadsheetml/2006/main" count="74" uniqueCount="20">
  <si>
    <t>X</t>
  </si>
  <si>
    <t>K</t>
  </si>
  <si>
    <t>код буквы CP-1251</t>
  </si>
  <si>
    <t>Номер буквы в алфавите</t>
  </si>
  <si>
    <t>Номер зашифрованной буквы</t>
  </si>
  <si>
    <t>Y</t>
  </si>
  <si>
    <t>Код буквы CP-1251</t>
  </si>
  <si>
    <t>A</t>
  </si>
  <si>
    <t>E</t>
  </si>
  <si>
    <t>N</t>
  </si>
  <si>
    <t>I</t>
  </si>
  <si>
    <t>V</t>
  </si>
  <si>
    <t>D</t>
  </si>
  <si>
    <t>C</t>
  </si>
  <si>
    <t>Q</t>
  </si>
  <si>
    <t>F</t>
  </si>
  <si>
    <t>P</t>
  </si>
  <si>
    <t>B</t>
  </si>
  <si>
    <t>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</si>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</sst>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2CA4-135B-4192-B064-537C41070569}">
  <dimension ref="E2:Q12"/>
  <sheetViews>
    <sheetView workbookViewId="0">
      <selection activeCell="P19" sqref="P19"/>
    </sheetView>
  </sheetViews>
  <sheetFormatPr defaultRowHeight="14.4" x14ac:dyDescent="0.3"/>
  <cols>
    <col min="5" max="5" width="27.44140625" customWidth="1"/>
    <col min="6" max="17" width="3" bestFit="1" customWidth="1"/>
  </cols>
  <sheetData>
    <row r="2" spans="5:17" x14ac:dyDescent="0.3">
      <c r="E2" t="s">
        <v>0</v>
      </c>
      <c r="F2" s="2" t="s">
        <v>11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10</v>
      </c>
      <c r="L2" s="2" t="s">
        <v>12</v>
      </c>
      <c r="M2" s="2" t="s">
        <v>10</v>
      </c>
      <c r="N2" s="2" t="s">
        <v>11</v>
      </c>
      <c r="O2" s="2" t="s">
        <v>10</v>
      </c>
      <c r="P2" s="2" t="s">
        <v>13</v>
      </c>
      <c r="Q2" s="2" t="s">
        <v>10</v>
      </c>
    </row>
    <row r="3" spans="5:17" x14ac:dyDescent="0.3">
      <c r="E3" t="s">
        <v>1</v>
      </c>
      <c r="F3" s="2">
        <v>23</v>
      </c>
    </row>
    <row r="4" spans="5:17" x14ac:dyDescent="0.3">
      <c r="E4" t="s">
        <v>6</v>
      </c>
      <c r="F4" s="1">
        <f>CODE(F2)</f>
        <v>86</v>
      </c>
      <c r="G4" s="1">
        <f t="shared" ref="G4:Q4" si="0">CODE(G2)</f>
        <v>69</v>
      </c>
      <c r="H4" s="1">
        <f t="shared" si="0"/>
        <v>78</v>
      </c>
      <c r="I4" s="1">
        <f t="shared" si="0"/>
        <v>73</v>
      </c>
      <c r="J4" s="1">
        <f t="shared" si="0"/>
        <v>86</v>
      </c>
      <c r="K4" s="1">
        <f t="shared" si="0"/>
        <v>73</v>
      </c>
      <c r="L4" s="1">
        <f t="shared" si="0"/>
        <v>68</v>
      </c>
      <c r="M4" s="1">
        <f t="shared" si="0"/>
        <v>73</v>
      </c>
      <c r="N4" s="1">
        <f t="shared" si="0"/>
        <v>86</v>
      </c>
      <c r="O4" s="1">
        <f t="shared" si="0"/>
        <v>73</v>
      </c>
      <c r="P4" s="1">
        <f t="shared" si="0"/>
        <v>67</v>
      </c>
      <c r="Q4" s="1">
        <f t="shared" si="0"/>
        <v>73</v>
      </c>
    </row>
    <row r="5" spans="5:17" x14ac:dyDescent="0.3">
      <c r="E5" t="s">
        <v>3</v>
      </c>
      <c r="F5" s="1">
        <f>F4-65</f>
        <v>21</v>
      </c>
      <c r="G5" s="1">
        <f t="shared" ref="G5:P5" si="1">G4-65</f>
        <v>4</v>
      </c>
      <c r="H5" s="1">
        <f t="shared" si="1"/>
        <v>13</v>
      </c>
      <c r="I5" s="1">
        <f t="shared" si="1"/>
        <v>8</v>
      </c>
      <c r="J5" s="1">
        <f t="shared" si="1"/>
        <v>21</v>
      </c>
      <c r="K5" s="1">
        <f t="shared" si="1"/>
        <v>8</v>
      </c>
      <c r="L5" s="1">
        <f t="shared" si="1"/>
        <v>3</v>
      </c>
      <c r="M5" s="1">
        <f t="shared" si="1"/>
        <v>8</v>
      </c>
      <c r="N5" s="1">
        <f t="shared" si="1"/>
        <v>21</v>
      </c>
      <c r="O5" s="1">
        <f t="shared" si="1"/>
        <v>8</v>
      </c>
      <c r="P5" s="1">
        <f t="shared" si="1"/>
        <v>2</v>
      </c>
      <c r="Q5" s="1">
        <f>Q4-65</f>
        <v>8</v>
      </c>
    </row>
    <row r="6" spans="5:17" x14ac:dyDescent="0.3">
      <c r="E6" t="s">
        <v>4</v>
      </c>
      <c r="F6" s="1">
        <f>MOD(F5+$F$3, 26)</f>
        <v>18</v>
      </c>
      <c r="G6" s="1">
        <f t="shared" ref="G6:Q6" si="2">MOD(G5+$F$3, 26)</f>
        <v>1</v>
      </c>
      <c r="H6" s="1">
        <f t="shared" si="2"/>
        <v>10</v>
      </c>
      <c r="I6" s="1">
        <f t="shared" si="2"/>
        <v>5</v>
      </c>
      <c r="J6" s="1">
        <f t="shared" si="2"/>
        <v>18</v>
      </c>
      <c r="K6" s="1">
        <f t="shared" si="2"/>
        <v>5</v>
      </c>
      <c r="L6" s="1">
        <f t="shared" si="2"/>
        <v>0</v>
      </c>
      <c r="M6" s="1">
        <f t="shared" si="2"/>
        <v>5</v>
      </c>
      <c r="N6" s="1">
        <f t="shared" si="2"/>
        <v>18</v>
      </c>
      <c r="O6" s="1">
        <f t="shared" si="2"/>
        <v>5</v>
      </c>
      <c r="P6" s="1">
        <f t="shared" si="2"/>
        <v>25</v>
      </c>
      <c r="Q6" s="1">
        <f t="shared" si="2"/>
        <v>5</v>
      </c>
    </row>
    <row r="7" spans="5:17" x14ac:dyDescent="0.3">
      <c r="E7" t="s">
        <v>2</v>
      </c>
      <c r="F7" s="1">
        <f>F6+65</f>
        <v>83</v>
      </c>
      <c r="G7" s="1">
        <f t="shared" ref="G7:Q7" si="3">G6+65</f>
        <v>66</v>
      </c>
      <c r="H7" s="1">
        <f t="shared" si="3"/>
        <v>75</v>
      </c>
      <c r="I7" s="1">
        <f t="shared" si="3"/>
        <v>70</v>
      </c>
      <c r="J7" s="1">
        <f t="shared" si="3"/>
        <v>83</v>
      </c>
      <c r="K7" s="1">
        <f t="shared" si="3"/>
        <v>70</v>
      </c>
      <c r="L7" s="1">
        <f t="shared" si="3"/>
        <v>65</v>
      </c>
      <c r="M7" s="1">
        <f t="shared" si="3"/>
        <v>70</v>
      </c>
      <c r="N7" s="1">
        <f t="shared" si="3"/>
        <v>83</v>
      </c>
      <c r="O7" s="1">
        <f t="shared" si="3"/>
        <v>70</v>
      </c>
      <c r="P7" s="1">
        <f t="shared" si="3"/>
        <v>90</v>
      </c>
      <c r="Q7" s="1">
        <f t="shared" si="3"/>
        <v>70</v>
      </c>
    </row>
    <row r="8" spans="5:17" x14ac:dyDescent="0.3">
      <c r="E8" t="s">
        <v>5</v>
      </c>
      <c r="F8" s="3" t="str">
        <f>CHAR(F7)</f>
        <v>S</v>
      </c>
      <c r="G8" s="3" t="str">
        <f t="shared" ref="G8:Q8" si="4">CHAR(G7)</f>
        <v>B</v>
      </c>
      <c r="H8" s="3" t="str">
        <f t="shared" si="4"/>
        <v>K</v>
      </c>
      <c r="I8" s="3" t="str">
        <f t="shared" si="4"/>
        <v>F</v>
      </c>
      <c r="J8" s="3" t="str">
        <f t="shared" si="4"/>
        <v>S</v>
      </c>
      <c r="K8" s="3" t="str">
        <f t="shared" si="4"/>
        <v>F</v>
      </c>
      <c r="L8" s="3" t="str">
        <f t="shared" si="4"/>
        <v>A</v>
      </c>
      <c r="M8" s="3" t="str">
        <f t="shared" si="4"/>
        <v>F</v>
      </c>
      <c r="N8" s="3" t="str">
        <f t="shared" si="4"/>
        <v>S</v>
      </c>
      <c r="O8" s="3" t="str">
        <f t="shared" si="4"/>
        <v>F</v>
      </c>
      <c r="P8" s="3" t="str">
        <f t="shared" si="4"/>
        <v>Z</v>
      </c>
      <c r="Q8" s="3" t="str">
        <f t="shared" si="4"/>
        <v>F</v>
      </c>
    </row>
    <row r="10" spans="5:17" x14ac:dyDescent="0.3">
      <c r="E10" t="s">
        <v>5</v>
      </c>
      <c r="F10" s="3" t="s">
        <v>18</v>
      </c>
      <c r="G10" s="3" t="s">
        <v>17</v>
      </c>
      <c r="H10" s="3" t="s">
        <v>1</v>
      </c>
      <c r="I10" s="3" t="s">
        <v>15</v>
      </c>
      <c r="J10" s="3" t="s">
        <v>18</v>
      </c>
      <c r="K10" s="3" t="s">
        <v>15</v>
      </c>
      <c r="L10" s="3" t="s">
        <v>7</v>
      </c>
      <c r="M10" s="3" t="s">
        <v>15</v>
      </c>
      <c r="N10" s="3" t="s">
        <v>18</v>
      </c>
      <c r="O10" s="3" t="s">
        <v>15</v>
      </c>
      <c r="P10" s="3" t="s">
        <v>19</v>
      </c>
      <c r="Q10" s="3" t="s">
        <v>15</v>
      </c>
    </row>
    <row r="11" spans="5:17" x14ac:dyDescent="0.3">
      <c r="E11" t="s">
        <v>1</v>
      </c>
      <c r="F11" s="2">
        <v>23</v>
      </c>
    </row>
    <row r="12" spans="5:17" x14ac:dyDescent="0.3">
      <c r="E12" t="s">
        <v>0</v>
      </c>
      <c r="F12" s="2" t="str">
        <f>CHAR(MOD((CODE(F10)-65)-$F$11,26)+65)</f>
        <v>V</v>
      </c>
      <c r="G12" s="2" t="str">
        <f t="shared" ref="G12:Q12" si="5">CHAR(MOD((CODE(G10)-65)-$F$11,26)+65)</f>
        <v>E</v>
      </c>
      <c r="H12" s="2" t="str">
        <f t="shared" si="5"/>
        <v>N</v>
      </c>
      <c r="I12" s="2" t="str">
        <f t="shared" si="5"/>
        <v>I</v>
      </c>
      <c r="J12" s="2" t="str">
        <f t="shared" si="5"/>
        <v>V</v>
      </c>
      <c r="K12" s="2" t="str">
        <f t="shared" si="5"/>
        <v>I</v>
      </c>
      <c r="L12" s="2" t="str">
        <f t="shared" si="5"/>
        <v>D</v>
      </c>
      <c r="M12" s="2" t="str">
        <f t="shared" si="5"/>
        <v>I</v>
      </c>
      <c r="N12" s="2" t="str">
        <f t="shared" si="5"/>
        <v>V</v>
      </c>
      <c r="O12" s="2" t="str">
        <f t="shared" si="5"/>
        <v>I</v>
      </c>
      <c r="P12" s="2" t="str">
        <f t="shared" si="5"/>
        <v>C</v>
      </c>
      <c r="Q12" s="2" t="str">
        <f t="shared" si="5"/>
        <v>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3E80-BE32-44F4-9077-AC3342FEEADF}">
  <dimension ref="B2:N12"/>
  <sheetViews>
    <sheetView tabSelected="1" workbookViewId="0">
      <selection activeCell="C12" sqref="C12"/>
    </sheetView>
  </sheetViews>
  <sheetFormatPr defaultRowHeight="14.4" x14ac:dyDescent="0.3"/>
  <cols>
    <col min="2" max="2" width="27.44140625" bestFit="1" customWidth="1"/>
    <col min="3" max="14" width="3" bestFit="1" customWidth="1"/>
  </cols>
  <sheetData>
    <row r="2" spans="2:14" x14ac:dyDescent="0.3">
      <c r="B2" t="s">
        <v>0</v>
      </c>
      <c r="C2" s="2" t="s">
        <v>11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10</v>
      </c>
      <c r="I2" s="2" t="s">
        <v>12</v>
      </c>
      <c r="J2" s="2" t="s">
        <v>10</v>
      </c>
      <c r="K2" s="2" t="s">
        <v>11</v>
      </c>
      <c r="L2" s="2" t="s">
        <v>10</v>
      </c>
      <c r="M2" s="2" t="s">
        <v>13</v>
      </c>
      <c r="N2" s="2" t="s">
        <v>10</v>
      </c>
    </row>
    <row r="3" spans="2:14" x14ac:dyDescent="0.3">
      <c r="B3" t="s">
        <v>1</v>
      </c>
      <c r="C3" s="2" t="s">
        <v>16</v>
      </c>
      <c r="D3" s="2" t="s">
        <v>7</v>
      </c>
      <c r="E3" s="2" t="s">
        <v>11</v>
      </c>
    </row>
    <row r="4" spans="2:14" x14ac:dyDescent="0.3">
      <c r="B4" t="s">
        <v>6</v>
      </c>
      <c r="C4" s="1">
        <f>CODE(C2)</f>
        <v>86</v>
      </c>
      <c r="D4" s="1">
        <f t="shared" ref="D4:N4" si="0">CODE(D2)</f>
        <v>69</v>
      </c>
      <c r="E4" s="1">
        <f t="shared" si="0"/>
        <v>78</v>
      </c>
      <c r="F4" s="1">
        <f t="shared" si="0"/>
        <v>73</v>
      </c>
      <c r="G4" s="1">
        <f t="shared" si="0"/>
        <v>86</v>
      </c>
      <c r="H4" s="1">
        <f t="shared" si="0"/>
        <v>73</v>
      </c>
      <c r="I4" s="1">
        <f t="shared" si="0"/>
        <v>68</v>
      </c>
      <c r="J4" s="1">
        <f t="shared" si="0"/>
        <v>73</v>
      </c>
      <c r="K4" s="1">
        <f t="shared" si="0"/>
        <v>86</v>
      </c>
      <c r="L4" s="1">
        <f t="shared" si="0"/>
        <v>73</v>
      </c>
      <c r="M4" s="1">
        <f t="shared" si="0"/>
        <v>67</v>
      </c>
      <c r="N4" s="1">
        <f t="shared" si="0"/>
        <v>73</v>
      </c>
    </row>
    <row r="5" spans="2:14" x14ac:dyDescent="0.3">
      <c r="B5" t="s">
        <v>3</v>
      </c>
      <c r="C5" s="1">
        <f>C4-65</f>
        <v>21</v>
      </c>
      <c r="D5" s="1">
        <f t="shared" ref="D5:M5" si="1">D4-65</f>
        <v>4</v>
      </c>
      <c r="E5" s="1">
        <f t="shared" si="1"/>
        <v>13</v>
      </c>
      <c r="F5" s="1">
        <f t="shared" si="1"/>
        <v>8</v>
      </c>
      <c r="G5" s="1">
        <f t="shared" si="1"/>
        <v>21</v>
      </c>
      <c r="H5" s="1">
        <f t="shared" si="1"/>
        <v>8</v>
      </c>
      <c r="I5" s="1">
        <f t="shared" si="1"/>
        <v>3</v>
      </c>
      <c r="J5" s="1">
        <f t="shared" si="1"/>
        <v>8</v>
      </c>
      <c r="K5" s="1">
        <f t="shared" si="1"/>
        <v>21</v>
      </c>
      <c r="L5" s="1">
        <f t="shared" si="1"/>
        <v>8</v>
      </c>
      <c r="M5" s="1">
        <f t="shared" si="1"/>
        <v>2</v>
      </c>
      <c r="N5" s="1">
        <f>N4-65</f>
        <v>8</v>
      </c>
    </row>
    <row r="6" spans="2:14" x14ac:dyDescent="0.3">
      <c r="B6" t="s">
        <v>4</v>
      </c>
      <c r="C6" s="1">
        <f>MOD(C5+(CODE($C$3)-65), 26)</f>
        <v>10</v>
      </c>
      <c r="D6" s="1">
        <f>MOD(D5+(CODE($D$3)-65), 26)</f>
        <v>4</v>
      </c>
      <c r="E6" s="1">
        <f>MOD(E5+(CODE($E$3)-65), 26)</f>
        <v>8</v>
      </c>
      <c r="F6" s="1">
        <f t="shared" ref="F6" si="2">MOD(F5+(CODE($C$3)-65), 26)</f>
        <v>23</v>
      </c>
      <c r="G6" s="1">
        <f t="shared" ref="G6" si="3">MOD(G5+(CODE($D$3)-65), 26)</f>
        <v>21</v>
      </c>
      <c r="H6" s="1">
        <f t="shared" ref="H6" si="4">MOD(H5+(CODE($E$3)-65), 26)</f>
        <v>3</v>
      </c>
      <c r="I6" s="1">
        <f t="shared" ref="I6" si="5">MOD(I5+(CODE($C$3)-65), 26)</f>
        <v>18</v>
      </c>
      <c r="J6" s="1">
        <f t="shared" ref="J6" si="6">MOD(J5+(CODE($D$3)-65), 26)</f>
        <v>8</v>
      </c>
      <c r="K6" s="1">
        <f t="shared" ref="K6" si="7">MOD(K5+(CODE($E$3)-65), 26)</f>
        <v>16</v>
      </c>
      <c r="L6" s="1">
        <f t="shared" ref="L6" si="8">MOD(L5+(CODE($C$3)-65), 26)</f>
        <v>23</v>
      </c>
      <c r="M6" s="1">
        <f t="shared" ref="M6" si="9">MOD(M5+(CODE($D$3)-65), 26)</f>
        <v>2</v>
      </c>
      <c r="N6" s="1">
        <f>MOD(N5+(CODE($E$3)-65), 26)</f>
        <v>3</v>
      </c>
    </row>
    <row r="7" spans="2:14" x14ac:dyDescent="0.3">
      <c r="B7" t="s">
        <v>2</v>
      </c>
      <c r="C7" s="1">
        <f>C6+65</f>
        <v>75</v>
      </c>
      <c r="D7" s="1">
        <f t="shared" ref="D7:N7" si="10">D6+65</f>
        <v>69</v>
      </c>
      <c r="E7" s="1">
        <f t="shared" si="10"/>
        <v>73</v>
      </c>
      <c r="F7" s="1">
        <f t="shared" si="10"/>
        <v>88</v>
      </c>
      <c r="G7" s="1">
        <f t="shared" si="10"/>
        <v>86</v>
      </c>
      <c r="H7" s="1">
        <f t="shared" si="10"/>
        <v>68</v>
      </c>
      <c r="I7" s="1">
        <f t="shared" si="10"/>
        <v>83</v>
      </c>
      <c r="J7" s="1">
        <f t="shared" si="10"/>
        <v>73</v>
      </c>
      <c r="K7" s="1">
        <f t="shared" si="10"/>
        <v>81</v>
      </c>
      <c r="L7" s="1">
        <f t="shared" si="10"/>
        <v>88</v>
      </c>
      <c r="M7" s="1">
        <f t="shared" si="10"/>
        <v>67</v>
      </c>
      <c r="N7" s="1">
        <f t="shared" si="10"/>
        <v>68</v>
      </c>
    </row>
    <row r="8" spans="2:14" x14ac:dyDescent="0.3">
      <c r="B8" t="s">
        <v>5</v>
      </c>
      <c r="C8" s="3" t="str">
        <f>CHAR(C7)</f>
        <v>K</v>
      </c>
      <c r="D8" s="3" t="str">
        <f t="shared" ref="D8:N8" si="11">CHAR(D7)</f>
        <v>E</v>
      </c>
      <c r="E8" s="3" t="str">
        <f t="shared" si="11"/>
        <v>I</v>
      </c>
      <c r="F8" s="3" t="str">
        <f t="shared" si="11"/>
        <v>X</v>
      </c>
      <c r="G8" s="3" t="str">
        <f t="shared" si="11"/>
        <v>V</v>
      </c>
      <c r="H8" s="3" t="str">
        <f t="shared" si="11"/>
        <v>D</v>
      </c>
      <c r="I8" s="3" t="str">
        <f t="shared" si="11"/>
        <v>S</v>
      </c>
      <c r="J8" s="3" t="str">
        <f t="shared" si="11"/>
        <v>I</v>
      </c>
      <c r="K8" s="3" t="str">
        <f t="shared" si="11"/>
        <v>Q</v>
      </c>
      <c r="L8" s="3" t="str">
        <f t="shared" si="11"/>
        <v>X</v>
      </c>
      <c r="M8" s="3" t="str">
        <f t="shared" si="11"/>
        <v>C</v>
      </c>
      <c r="N8" s="3" t="str">
        <f t="shared" si="11"/>
        <v>D</v>
      </c>
    </row>
    <row r="10" spans="2:14" x14ac:dyDescent="0.3">
      <c r="B10" t="s">
        <v>5</v>
      </c>
      <c r="C10" s="3" t="s">
        <v>1</v>
      </c>
      <c r="D10" s="3" t="s">
        <v>8</v>
      </c>
      <c r="E10" s="3" t="s">
        <v>10</v>
      </c>
      <c r="F10" s="3" t="s">
        <v>0</v>
      </c>
      <c r="G10" s="3" t="s">
        <v>11</v>
      </c>
      <c r="H10" s="3" t="s">
        <v>12</v>
      </c>
      <c r="I10" s="3" t="s">
        <v>18</v>
      </c>
      <c r="J10" s="3" t="s">
        <v>10</v>
      </c>
      <c r="K10" s="3" t="s">
        <v>14</v>
      </c>
      <c r="L10" s="3" t="s">
        <v>0</v>
      </c>
      <c r="M10" s="3" t="s">
        <v>13</v>
      </c>
      <c r="N10" s="3" t="s">
        <v>12</v>
      </c>
    </row>
    <row r="11" spans="2:14" x14ac:dyDescent="0.3">
      <c r="B11" t="s">
        <v>1</v>
      </c>
      <c r="C11" s="2" t="s">
        <v>16</v>
      </c>
      <c r="D11" s="2" t="s">
        <v>7</v>
      </c>
      <c r="E11" s="2" t="s">
        <v>11</v>
      </c>
    </row>
    <row r="12" spans="2:14" x14ac:dyDescent="0.3">
      <c r="B12" t="s">
        <v>0</v>
      </c>
      <c r="C12" s="2" t="str">
        <f>CHAR(MOD(CODE(C10)-CODE($C$11),26)+65)</f>
        <v>V</v>
      </c>
      <c r="D12" s="2" t="str">
        <f>CHAR(MOD(CODE(D10)-CODE($D$11),26)+65)</f>
        <v>E</v>
      </c>
      <c r="E12" s="2" t="str">
        <f>CHAR(MOD(CODE(E10)-CODE($E$11),26)+65)</f>
        <v>N</v>
      </c>
      <c r="F12" s="2" t="str">
        <f t="shared" ref="F12" si="12">CHAR(MOD(CODE(F10)-CODE($C$11),26)+65)</f>
        <v>I</v>
      </c>
      <c r="G12" s="2" t="str">
        <f t="shared" ref="G12" si="13">CHAR(MOD(CODE(G10)-CODE($D$11),26)+65)</f>
        <v>V</v>
      </c>
      <c r="H12" s="2" t="str">
        <f t="shared" ref="H12" si="14">CHAR(MOD(CODE(H10)-CODE($E$11),26)+65)</f>
        <v>I</v>
      </c>
      <c r="I12" s="2" t="str">
        <f t="shared" ref="I12" si="15">CHAR(MOD(CODE(I10)-CODE($C$11),26)+65)</f>
        <v>D</v>
      </c>
      <c r="J12" s="2" t="str">
        <f t="shared" ref="J12" si="16">CHAR(MOD(CODE(J10)-CODE($D$11),26)+65)</f>
        <v>I</v>
      </c>
      <c r="K12" s="2" t="str">
        <f t="shared" ref="K12" si="17">CHAR(MOD(CODE(K10)-CODE($E$11),26)+65)</f>
        <v>V</v>
      </c>
      <c r="L12" s="2" t="str">
        <f t="shared" ref="L12" si="18">CHAR(MOD(CODE(L10)-CODE($C$11),26)+65)</f>
        <v>I</v>
      </c>
      <c r="M12" s="2" t="str">
        <f t="shared" ref="M12" si="19">CHAR(MOD(CODE(M10)-CODE($D$11),26)+65)</f>
        <v>C</v>
      </c>
      <c r="N12" s="2" t="str">
        <f t="shared" ref="N12" si="20">CHAR(MOD(CODE(N10)-CODE($E$11),26)+65)</f>
        <v>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Шифр Цезаря</vt:lpstr>
      <vt:lpstr>Шифр Виженера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Никита Павлов</cp:lastModifiedBy>
  <dcterms:created xsi:type="dcterms:W3CDTF">2025-04-04T13:21:55Z</dcterms:created>
  <dcterms:modified xsi:type="dcterms:W3CDTF">2025-12-23T10:14:07Z</dcterms:modified>
</cp:coreProperties>
</file>