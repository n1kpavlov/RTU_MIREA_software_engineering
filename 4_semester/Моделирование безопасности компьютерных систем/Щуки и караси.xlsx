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еба\ИнфоБез\"/>
    </mc:Choice>
  </mc:AlternateContent>
  <xr:revisionPtr revIDLastSave="0" documentId="8_{A81C70B1-6FA7-4D5A-A454-814B36579BDA}" xr6:coauthVersionLast="47" xr6:coauthVersionMax="47" xr10:uidLastSave="{00000000-0000-0000-0000-000000000000}"/>
  <bookViews>
    <workbookView xWindow="-108" yWindow="-108" windowWidth="23256" windowHeight="13896" xr2:uid="{EACA1BD6-BC39-4D62-8092-65062CAC106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F3" i="1"/>
  <c r="F4" i="1" s="1"/>
  <c r="G4" i="1" l="1"/>
  <c r="G5" i="1" s="1"/>
  <c r="F5" i="1" l="1"/>
  <c r="F6" i="1" s="1"/>
  <c r="G6" i="1"/>
  <c r="G7" i="1" s="1"/>
  <c r="F7" i="1" l="1"/>
  <c r="F8" i="1" s="1"/>
  <c r="G8" i="1" l="1"/>
  <c r="G9" i="1" s="1"/>
  <c r="F9" i="1"/>
  <c r="F10" i="1" s="1"/>
  <c r="G10" i="1" l="1"/>
  <c r="G11" i="1" s="1"/>
  <c r="F11" i="1" l="1"/>
  <c r="F12" i="1" s="1"/>
  <c r="G12" i="1" l="1"/>
  <c r="G13" i="1" s="1"/>
  <c r="F13" i="1" l="1"/>
  <c r="F14" i="1" s="1"/>
  <c r="G14" i="1" l="1"/>
  <c r="G15" i="1" s="1"/>
  <c r="F15" i="1" l="1"/>
  <c r="F16" i="1" s="1"/>
  <c r="G16" i="1" l="1"/>
  <c r="G17" i="1" s="1"/>
  <c r="F17" i="1" l="1"/>
  <c r="F18" i="1" s="1"/>
  <c r="G18" i="1" l="1"/>
  <c r="G19" i="1" s="1"/>
  <c r="F19" i="1" l="1"/>
  <c r="F20" i="1" s="1"/>
  <c r="G20" i="1" l="1"/>
  <c r="G21" i="1" s="1"/>
  <c r="F21" i="1" l="1"/>
  <c r="F22" i="1" s="1"/>
  <c r="G22" i="1" l="1"/>
  <c r="G23" i="1" s="1"/>
  <c r="F23" i="1" l="1"/>
  <c r="F24" i="1" s="1"/>
  <c r="G24" i="1" l="1"/>
  <c r="G25" i="1" s="1"/>
  <c r="F25" i="1" l="1"/>
  <c r="F26" i="1" s="1"/>
  <c r="G26" i="1" l="1"/>
  <c r="G27" i="1" s="1"/>
  <c r="F27" i="1" l="1"/>
  <c r="F28" i="1" s="1"/>
  <c r="F29" i="1" l="1"/>
  <c r="F30" i="1" s="1"/>
  <c r="G28" i="1"/>
  <c r="G29" i="1" s="1"/>
  <c r="G30" i="1" l="1"/>
  <c r="G31" i="1" s="1"/>
  <c r="F31" i="1" l="1"/>
  <c r="F32" i="1" s="1"/>
  <c r="G32" i="1" l="1"/>
  <c r="G33" i="1" s="1"/>
  <c r="F33" i="1" l="1"/>
  <c r="F34" i="1" s="1"/>
  <c r="G34" i="1" l="1"/>
  <c r="G35" i="1" s="1"/>
  <c r="F35" i="1" l="1"/>
  <c r="F36" i="1" s="1"/>
  <c r="G36" i="1" l="1"/>
  <c r="G37" i="1" s="1"/>
  <c r="F37" i="1"/>
  <c r="F38" i="1" s="1"/>
  <c r="G38" i="1" l="1"/>
  <c r="G39" i="1" s="1"/>
  <c r="F39" i="1" l="1"/>
  <c r="F40" i="1" s="1"/>
  <c r="G40" i="1" l="1"/>
  <c r="G41" i="1" s="1"/>
  <c r="F41" i="1" l="1"/>
  <c r="F42" i="1" s="1"/>
  <c r="G42" i="1" l="1"/>
  <c r="G43" i="1" s="1"/>
  <c r="F43" i="1" l="1"/>
  <c r="F44" i="1" s="1"/>
  <c r="G44" i="1"/>
  <c r="G45" i="1" s="1"/>
  <c r="G46" i="1" l="1"/>
  <c r="G47" i="1" s="1"/>
  <c r="F45" i="1"/>
  <c r="F46" i="1" s="1"/>
  <c r="F47" i="1" l="1"/>
  <c r="F48" i="1" s="1"/>
  <c r="G48" i="1" l="1"/>
  <c r="G49" i="1" s="1"/>
  <c r="F49" i="1" l="1"/>
  <c r="F50" i="1" s="1"/>
  <c r="G50" i="1" l="1"/>
  <c r="G51" i="1" s="1"/>
  <c r="F51" i="1" l="1"/>
  <c r="F52" i="1" s="1"/>
  <c r="G52" i="1" l="1"/>
  <c r="G53" i="1" s="1"/>
  <c r="F53" i="1" l="1"/>
  <c r="F54" i="1" s="1"/>
  <c r="G54" i="1" l="1"/>
  <c r="G55" i="1" s="1"/>
  <c r="F55" i="1" l="1"/>
  <c r="F56" i="1" s="1"/>
  <c r="G56" i="1" l="1"/>
  <c r="G57" i="1" s="1"/>
  <c r="F57" i="1" l="1"/>
  <c r="F58" i="1" s="1"/>
  <c r="G58" i="1" l="1"/>
  <c r="G59" i="1" s="1"/>
  <c r="G60" i="1" l="1"/>
  <c r="G61" i="1" s="1"/>
  <c r="F59" i="1"/>
  <c r="F60" i="1" s="1"/>
  <c r="F61" i="1" l="1"/>
  <c r="F62" i="1" s="1"/>
  <c r="G62" i="1" l="1"/>
  <c r="G63" i="1" s="1"/>
  <c r="G64" i="1" l="1"/>
  <c r="G65" i="1" s="1"/>
  <c r="F63" i="1"/>
  <c r="F64" i="1" s="1"/>
  <c r="F65" i="1" l="1"/>
  <c r="F66" i="1" s="1"/>
  <c r="G66" i="1" l="1"/>
  <c r="G67" i="1" s="1"/>
  <c r="F67" i="1" l="1"/>
  <c r="F68" i="1" s="1"/>
  <c r="G68" i="1" l="1"/>
  <c r="G69" i="1" s="1"/>
  <c r="G70" i="1" l="1"/>
  <c r="G71" i="1" s="1"/>
  <c r="F69" i="1"/>
  <c r="F70" i="1" s="1"/>
  <c r="F71" i="1" l="1"/>
  <c r="F72" i="1" s="1"/>
  <c r="F73" i="1" l="1"/>
  <c r="F74" i="1" s="1"/>
  <c r="G72" i="1"/>
  <c r="G73" i="1" s="1"/>
  <c r="G74" i="1" l="1"/>
  <c r="G75" i="1" s="1"/>
  <c r="F75" i="1" l="1"/>
  <c r="F76" i="1" s="1"/>
  <c r="G76" i="1" l="1"/>
  <c r="G77" i="1" s="1"/>
  <c r="F77" i="1" l="1"/>
  <c r="F78" i="1" s="1"/>
  <c r="F79" i="1" l="1"/>
  <c r="F80" i="1" s="1"/>
  <c r="G78" i="1"/>
  <c r="G79" i="1" s="1"/>
  <c r="F81" i="1" l="1"/>
  <c r="F82" i="1" s="1"/>
  <c r="G80" i="1"/>
  <c r="G81" i="1" s="1"/>
  <c r="G82" i="1" l="1"/>
  <c r="G83" i="1" s="1"/>
  <c r="F83" i="1" l="1"/>
  <c r="F84" i="1" s="1"/>
  <c r="G84" i="1" l="1"/>
  <c r="G85" i="1" s="1"/>
  <c r="F85" i="1" l="1"/>
  <c r="F86" i="1" s="1"/>
  <c r="G86" i="1" l="1"/>
  <c r="G87" i="1" s="1"/>
  <c r="F87" i="1" l="1"/>
  <c r="F88" i="1" s="1"/>
  <c r="F89" i="1" l="1"/>
  <c r="F90" i="1" s="1"/>
  <c r="G88" i="1"/>
  <c r="G89" i="1" s="1"/>
  <c r="F91" i="1" l="1"/>
  <c r="F92" i="1" s="1"/>
  <c r="G90" i="1"/>
  <c r="G91" i="1" s="1"/>
  <c r="G92" i="1" l="1"/>
  <c r="G93" i="1" s="1"/>
  <c r="F93" i="1" l="1"/>
  <c r="F94" i="1" s="1"/>
  <c r="G94" i="1" l="1"/>
  <c r="G95" i="1" s="1"/>
  <c r="F95" i="1" l="1"/>
  <c r="F96" i="1" s="1"/>
  <c r="F97" i="1" l="1"/>
  <c r="F98" i="1" s="1"/>
  <c r="G96" i="1"/>
  <c r="G97" i="1" s="1"/>
  <c r="G98" i="1" l="1"/>
  <c r="G99" i="1" s="1"/>
  <c r="F99" i="1" l="1"/>
  <c r="F100" i="1" s="1"/>
  <c r="G100" i="1" l="1"/>
  <c r="G101" i="1" s="1"/>
  <c r="F101" i="1" l="1"/>
  <c r="F102" i="1" s="1"/>
  <c r="G102" i="1" l="1"/>
</calcChain>
</file>

<file path=xl/sharedStrings.xml><?xml version="1.0" encoding="utf-8"?>
<sst xmlns="http://schemas.openxmlformats.org/spreadsheetml/2006/main" count="10" uniqueCount="10">
  <si>
    <t>Год</t>
  </si>
  <si>
    <t>Карасей (тыс.)</t>
  </si>
  <si>
    <t>Щук (тыс.)</t>
  </si>
  <si>
    <t>Коэффициент прироста карасей (a)</t>
  </si>
  <si>
    <t>Коэффициент перенаселения карасей (b)</t>
  </si>
  <si>
    <t>Скорость естественного уменьшения популяции щук (d)</t>
  </si>
  <si>
    <t>Скорость роста популяции щук за счет карасей €</t>
  </si>
  <si>
    <t>Вероятность гибели карася при встрече с щукой (f)</t>
  </si>
  <si>
    <t>Исходные данные</t>
  </si>
  <si>
    <t>Ежегодный отлов карасей (с)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</si>
</sst>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Лист1!$F$1</c:f>
              <c:strCache>
                <c:ptCount val="1"/>
                <c:pt idx="0">
                  <c:v>Карасей (тыс.)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Лист1!$E$2:$E$102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Лист1!$F$2:$F$102</c:f>
              <c:numCache>
                <c:formatCode>General</c:formatCode>
                <c:ptCount val="101"/>
                <c:pt idx="0">
                  <c:v>1.5</c:v>
                </c:pt>
                <c:pt idx="1">
                  <c:v>1.5535000000000003</c:v>
                </c:pt>
                <c:pt idx="2">
                  <c:v>1.6047978825000004</c:v>
                </c:pt>
                <c:pt idx="3">
                  <c:v>1.6531823940928703</c:v>
                </c:pt>
                <c:pt idx="4">
                  <c:v>1.6979052152381413</c:v>
                </c:pt>
                <c:pt idx="5">
                  <c:v>1.7381910757375689</c:v>
                </c:pt>
                <c:pt idx="6">
                  <c:v>1.7732506009522293</c:v>
                </c:pt>
                <c:pt idx="7">
                  <c:v>1.8022963215084786</c:v>
                </c:pt>
                <c:pt idx="8">
                  <c:v>1.8245622982155199</c:v>
                </c:pt>
                <c:pt idx="9">
                  <c:v>1.839327752259093</c:v>
                </c:pt>
                <c:pt idx="10">
                  <c:v>1.8459448949884156</c:v>
                </c:pt>
                <c:pt idx="11">
                  <c:v>1.8438707648764834</c:v>
                </c:pt>
                <c:pt idx="12">
                  <c:v>1.832702256684388</c:v>
                </c:pt>
                <c:pt idx="13">
                  <c:v>1.8122126612449265</c:v>
                </c:pt>
                <c:pt idx="14">
                  <c:v>1.78238698307931</c:v>
                </c:pt>
                <c:pt idx="15">
                  <c:v>1.7434522239990451</c:v>
                </c:pt>
                <c:pt idx="16">
                  <c:v>1.6958979798347202</c:v>
                </c:pt>
                <c:pt idx="17">
                  <c:v>1.6404824427080495</c:v>
                </c:pt>
                <c:pt idx="18">
                  <c:v>1.5782195802524839</c:v>
                </c:pt>
                <c:pt idx="19">
                  <c:v>1.5103450853618867</c:v>
                </c:pt>
                <c:pt idx="20">
                  <c:v>1.438261573538689</c:v>
                </c:pt>
                <c:pt idx="21">
                  <c:v>1.3634669814288185</c:v>
                </c:pt>
                <c:pt idx="22">
                  <c:v>1.2874733812293302</c:v>
                </c:pt>
                <c:pt idx="23">
                  <c:v>1.2117255469112342</c:v>
                </c:pt>
                <c:pt idx="24">
                  <c:v>1.1375288910848271</c:v>
                </c:pt>
                <c:pt idx="25">
                  <c:v>1.0659946691983482</c:v>
                </c:pt>
                <c:pt idx="26">
                  <c:v>0.99800708742912558</c:v>
                </c:pt>
                <c:pt idx="27">
                  <c:v>0.93421307811869225</c:v>
                </c:pt>
                <c:pt idx="28">
                  <c:v>0.87503204105883747</c:v>
                </c:pt>
                <c:pt idx="29">
                  <c:v>0.82068053442065825</c:v>
                </c:pt>
                <c:pt idx="30">
                  <c:v>0.77120600628351799</c:v>
                </c:pt>
                <c:pt idx="31">
                  <c:v>0.72652401020051505</c:v>
                </c:pt>
                <c:pt idx="32">
                  <c:v>0.68645450480227121</c:v>
                </c:pt>
                <c:pt idx="33">
                  <c:v>0.65075430773490983</c:v>
                </c:pt>
                <c:pt idx="34">
                  <c:v>0.61914417279654521</c:v>
                </c:pt>
                <c:pt idx="35">
                  <c:v>0.59133006558748347</c:v>
                </c:pt>
                <c:pt idx="36">
                  <c:v>0.56701895759008336</c:v>
                </c:pt>
                <c:pt idx="37">
                  <c:v>0.5459298721343453</c:v>
                </c:pt>
                <c:pt idx="38">
                  <c:v>0.52780107640996332</c:v>
                </c:pt>
                <c:pt idx="39">
                  <c:v>0.51239430824352084</c:v>
                </c:pt>
                <c:pt idx="40">
                  <c:v>0.49949682856253924</c:v>
                </c:pt>
                <c:pt idx="41">
                  <c:v>0.48892195370924835</c:v>
                </c:pt>
                <c:pt idx="42">
                  <c:v>0.48050857975903011</c:v>
                </c:pt>
                <c:pt idx="43">
                  <c:v>0.47412008203882811</c:v>
                </c:pt>
                <c:pt idx="44">
                  <c:v>0.46964286491706125</c:v>
                </c:pt>
                <c:pt idx="45">
                  <c:v>0.46698475109097415</c:v>
                </c:pt>
                <c:pt idx="46">
                  <c:v>0.46607333413948726</c:v>
                </c:pt>
                <c:pt idx="47">
                  <c:v>0.46685436975621941</c:v>
                </c:pt>
                <c:pt idx="48">
                  <c:v>0.46929024627313098</c:v>
                </c:pt>
                <c:pt idx="49">
                  <c:v>0.47335855057101778</c:v>
                </c:pt>
                <c:pt idx="50">
                  <c:v>0.47905072851660252</c:v>
                </c:pt>
                <c:pt idx="51">
                  <c:v>0.48637082750576843</c:v>
                </c:pt>
                <c:pt idx="52">
                  <c:v>0.49533430089122221</c:v>
                </c:pt>
                <c:pt idx="53">
                  <c:v>0.50596684883601295</c:v>
                </c:pt>
                <c:pt idx="54">
                  <c:v>0.5183032666238897</c:v>
                </c:pt>
                <c:pt idx="55">
                  <c:v>0.53238626911502762</c:v>
                </c:pt>
                <c:pt idx="56">
                  <c:v>0.54826525851908137</c:v>
                </c:pt>
                <c:pt idx="57">
                  <c:v>0.56599500179203399</c:v>
                </c:pt>
                <c:pt idx="58">
                  <c:v>0.58563418370436382</c:v>
                </c:pt>
                <c:pt idx="59">
                  <c:v>0.60724380203353456</c:v>
                </c:pt>
                <c:pt idx="60">
                  <c:v>0.6308853725422563</c:v>
                </c:pt>
                <c:pt idx="61">
                  <c:v>0.65661891361578739</c:v>
                </c:pt>
                <c:pt idx="62">
                  <c:v>0.68450068389067553</c:v>
                </c:pt>
                <c:pt idx="63">
                  <c:v>0.71458065118063785</c:v>
                </c:pt>
                <c:pt idx="64">
                  <c:v>0.74689967775792765</c:v>
                </c:pt>
                <c:pt idx="65">
                  <c:v>0.78148641581393852</c:v>
                </c:pt>
                <c:pt idx="66">
                  <c:v>0.81835391786676903</c:v>
                </c:pt>
                <c:pt idx="67">
                  <c:v>0.85749598006367</c:v>
                </c:pt>
                <c:pt idx="68">
                  <c:v>0.89888325164974603</c:v>
                </c:pt>
                <c:pt idx="69">
                  <c:v>0.94245916105823868</c:v>
                </c:pt>
                <c:pt idx="70">
                  <c:v>0.98813572762116963</c:v>
                </c:pt>
                <c:pt idx="71">
                  <c:v>1.0357893470752888</c:v>
                </c:pt>
                <c:pt idx="72">
                  <c:v>1.0852566579191809</c:v>
                </c:pt>
                <c:pt idx="73">
                  <c:v>1.1363306132024416</c:v>
                </c:pt>
                <c:pt idx="74">
                  <c:v>1.1887568974249776</c:v>
                </c:pt>
                <c:pt idx="75">
                  <c:v>1.2422308399868891</c:v>
                </c:pt>
                <c:pt idx="76">
                  <c:v>1.2963949845393425</c:v>
                </c:pt>
                <c:pt idx="77">
                  <c:v>1.3508374777635506</c:v>
                </c:pt>
                <c:pt idx="78">
                  <c:v>1.4050914425330925</c:v>
                </c:pt>
                <c:pt idx="79">
                  <c:v>1.4586355010886018</c:v>
                </c:pt>
                <c:pt idx="80">
                  <c:v>1.5108956167506336</c:v>
                </c:pt>
                <c:pt idx="81">
                  <c:v>1.5612484314766122</c:v>
                </c:pt>
                <c:pt idx="82">
                  <c:v>1.6090262948930325</c:v>
                </c:pt>
                <c:pt idx="83">
                  <c:v>1.6535242108114951</c:v>
                </c:pt>
                <c:pt idx="84">
                  <c:v>1.6940089693389795</c:v>
                </c:pt>
                <c:pt idx="85">
                  <c:v>1.7297307811990104</c:v>
                </c:pt>
                <c:pt idx="86">
                  <c:v>1.759937773055346</c:v>
                </c:pt>
                <c:pt idx="87">
                  <c:v>1.7838937161097002</c:v>
                </c:pt>
                <c:pt idx="88">
                  <c:v>1.8008993118960055</c:v>
                </c:pt>
                <c:pt idx="89">
                  <c:v>1.8103172063695514</c:v>
                </c:pt>
                <c:pt idx="90">
                  <c:v>1.8116005993477633</c:v>
                </c:pt>
                <c:pt idx="91">
                  <c:v>1.8043248216804924</c:v>
                </c:pt>
                <c:pt idx="92">
                  <c:v>1.788220553590671</c:v>
                </c:pt>
                <c:pt idx="93">
                  <c:v>1.7632064908863001</c:v>
                </c:pt>
                <c:pt idx="94">
                  <c:v>1.729418342283255</c:v>
                </c:pt>
                <c:pt idx="95">
                  <c:v>1.6872302602101925</c:v>
                </c:pt>
                <c:pt idx="96">
                  <c:v>1.6372644435045538</c:v>
                </c:pt>
                <c:pt idx="97">
                  <c:v>1.5803849976348459</c:v>
                </c:pt>
                <c:pt idx="98">
                  <c:v>1.5176734109097951</c:v>
                </c:pt>
                <c:pt idx="99">
                  <c:v>1.4503852149663432</c:v>
                </c:pt>
                <c:pt idx="100">
                  <c:v>1.3798902574958474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97-41C3-A583-9720792FE972}"/>
            </c:ext>
          </c:extLst>
        </c:ser>
        <c:ser>
          <c:idx val="1"/>
          <c:order val="1"/>
          <c:tx>
            <c:strRef>
              <c:f>Лист1!$G$1</c:f>
              <c:strCache>
                <c:ptCount val="1"/>
                <c:pt idx="0">
                  <c:v>Щук (тыс.)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Лист1!$E$2:$E$102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Лист1!$G$2:$G$102</c:f>
              <c:numCache>
                <c:formatCode>General</c:formatCode>
                <c:ptCount val="101"/>
                <c:pt idx="0">
                  <c:v>1.5</c:v>
                </c:pt>
                <c:pt idx="1">
                  <c:v>1.5750000000000002</c:v>
                </c:pt>
                <c:pt idx="2">
                  <c:v>1.6621762500000004</c:v>
                </c:pt>
                <c:pt idx="3">
                  <c:v>1.7627043176341797</c:v>
                </c:pt>
                <c:pt idx="4">
                  <c:v>1.877841060261193</c:v>
                </c:pt>
                <c:pt idx="5">
                  <c:v>2.008896567195654</c:v>
                </c:pt>
                <c:pt idx="6">
                  <c:v>2.1571915189940212</c:v>
                </c:pt>
                <c:pt idx="7">
                  <c:v>2.3239964828371393</c:v>
                </c:pt>
                <c:pt idx="8">
                  <c:v>2.5104498657750272</c:v>
                </c:pt>
                <c:pt idx="9">
                  <c:v>2.717452096862857</c:v>
                </c:pt>
                <c:pt idx="10">
                  <c:v>2.9455353928960228</c:v>
                </c:pt>
                <c:pt idx="11">
                  <c:v>3.1947114557588314</c:v>
                </c:pt>
                <c:pt idx="12">
                  <c:v>3.4643038157319186</c:v>
                </c:pt>
                <c:pt idx="13">
                  <c:v>3.7527771762519491</c:v>
                </c:pt>
                <c:pt idx="14">
                  <c:v>4.0575824899902306</c:v>
                </c:pt>
                <c:pt idx="15">
                  <c:v>4.37504246228412</c:v>
                </c:pt>
                <c:pt idx="16">
                  <c:v>4.7003059671516585</c:v>
                </c:pt>
                <c:pt idx="17">
                  <c:v>5.0273993098662508</c:v>
                </c:pt>
                <c:pt idx="18">
                  <c:v>5.3493954089114411</c:v>
                </c:pt>
                <c:pt idx="19">
                  <c:v>5.6587079257059747</c:v>
                </c:pt>
                <c:pt idx="20">
                  <c:v>5.9474973036442149</c:v>
                </c:pt>
                <c:pt idx="21">
                  <c:v>6.2081532563354376</c:v>
                </c:pt>
                <c:pt idx="22">
                  <c:v>6.4337991287682108</c:v>
                </c:pt>
                <c:pt idx="23">
                  <c:v>6.6187537277379427</c:v>
                </c:pt>
                <c:pt idx="24">
                  <c:v>6.7588896530255518</c:v>
                </c:pt>
                <c:pt idx="25">
                  <c:v>6.8518439129200841</c:v>
                </c:pt>
                <c:pt idx="26">
                  <c:v>6.8970624301632721</c:v>
                </c:pt>
                <c:pt idx="27">
                  <c:v>6.8956879059213545</c:v>
                </c:pt>
                <c:pt idx="28">
                  <c:v>6.8503232977628823</c:v>
                </c:pt>
                <c:pt idx="29">
                  <c:v>6.7647162057020305</c:v>
                </c:pt>
                <c:pt idx="30">
                  <c:v>6.643411676221791</c:v>
                </c:pt>
                <c:pt idx="31">
                  <c:v>6.4914144072912423</c:v>
                </c:pt>
                <c:pt idx="32">
                  <c:v>6.3138898092679812</c:v>
                </c:pt>
                <c:pt idx="33">
                  <c:v>6.1159206385808993</c:v>
                </c:pt>
                <c:pt idx="34">
                  <c:v>5.9023247448549458</c:v>
                </c:pt>
                <c:pt idx="35">
                  <c:v>5.677531267542431</c:v>
                </c:pt>
                <c:pt idx="36">
                  <c:v>5.4455076344692728</c:v>
                </c:pt>
                <c:pt idx="37">
                  <c:v>5.209727477266906</c:v>
                </c:pt>
                <c:pt idx="38">
                  <c:v>4.9731693150921261</c:v>
                </c:pt>
                <c:pt idx="39">
                  <c:v>4.7383367953503761</c:v>
                </c:pt>
                <c:pt idx="40">
                  <c:v>4.5072927962631768</c:v>
                </c:pt>
                <c:pt idx="41">
                  <c:v>4.2817013623504829</c:v>
                </c:pt>
                <c:pt idx="42">
                  <c:v>4.0628730056434295</c:v>
                </c:pt>
                <c:pt idx="43">
                  <c:v>3.8518102388473889</c:v>
                </c:pt>
                <c:pt idx="44">
                  <c:v>3.6492512736066822</c:v>
                </c:pt>
                <c:pt idx="45">
                  <c:v>3.4557106285399017</c:v>
                </c:pt>
                <c:pt idx="46">
                  <c:v>3.2715159824570255</c:v>
                </c:pt>
                <c:pt idx="47">
                  <c:v>3.0968410203747596</c:v>
                </c:pt>
                <c:pt idx="48">
                  <c:v>2.93173429461751</c:v>
                </c:pt>
                <c:pt idx="49">
                  <c:v>2.7761442960686025</c:v>
                </c:pt>
                <c:pt idx="50">
                  <c:v>2.6299410304780455</c:v>
                </c:pt>
                <c:pt idx="51">
                  <c:v>2.4929344440908623</c:v>
                </c:pt>
                <c:pt idx="52">
                  <c:v>2.3648900585307868</c:v>
                </c:pt>
                <c:pt idx="53">
                  <c:v>2.2455421690604029</c:v>
                </c:pt>
                <c:pt idx="54">
                  <c:v>2.1346049416751507</c:v>
                </c:pt>
                <c:pt idx="55">
                  <c:v>2.0317817189298082</c:v>
                </c:pt>
                <c:pt idx="56">
                  <c:v>1.9367728159365432</c:v>
                </c:pt>
                <c:pt idx="57">
                  <c:v>1.8492820592051067</c:v>
                </c:pt>
                <c:pt idx="58">
                  <c:v>1.7690222935259732</c:v>
                </c:pt>
                <c:pt idx="59">
                  <c:v>1.6957200568557664</c:v>
                </c:pt>
                <c:pt idx="60">
                  <c:v>1.6291196006211517</c:v>
                </c:pt>
                <c:pt idx="61">
                  <c:v>1.5689864131744131</c:v>
                </c:pt>
                <c:pt idx="62">
                  <c:v>1.5151103872666232</c:v>
                </c:pt>
                <c:pt idx="63">
                  <c:v>1.4673087581653479</c:v>
                </c:pt>
                <c:pt idx="64">
                  <c:v>1.425428927138098</c:v>
                </c:pt>
                <c:pt idx="65">
                  <c:v>1.3893512750589156</c:v>
                </c:pt>
                <c:pt idx="66">
                  <c:v>1.3589920623782559</c:v>
                </c:pt>
                <c:pt idx="67">
                  <c:v>1.3343065040001389</c:v>
                </c:pt>
                <c:pt idx="68">
                  <c:v>1.3152920999354181</c:v>
                </c:pt>
                <c:pt idx="69">
                  <c:v>1.3019922939077935</c:v>
                </c:pt>
                <c:pt idx="70">
                  <c:v>1.2945005210190774</c:v>
                </c:pt>
                <c:pt idx="71">
                  <c:v>1.2929646903414866</c:v>
                </c:pt>
                <c:pt idx="72">
                  <c:v>1.2975921265473591</c:v>
                </c:pt>
                <c:pt idx="73">
                  <c:v>1.3086549633525264</c:v>
                </c:pt>
                <c:pt idx="74">
                  <c:v>1.3264959367149531</c:v>
                </c:pt>
                <c:pt idx="75">
                  <c:v>1.3515344624610686</c:v>
                </c:pt>
                <c:pt idx="76">
                  <c:v>1.3842727952723859</c:v>
                </c:pt>
                <c:pt idx="77">
                  <c:v>1.4253019466476851</c:v>
                </c:pt>
                <c:pt idx="78">
                  <c:v>1.4753068806490202</c:v>
                </c:pt>
                <c:pt idx="79">
                  <c:v>1.5350702998951311</c:v>
                </c:pt>
                <c:pt idx="80">
                  <c:v>1.6054740735149944</c:v>
                </c:pt>
                <c:pt idx="81">
                  <c:v>1.6874970402115539</c:v>
                </c:pt>
                <c:pt idx="82">
                  <c:v>1.7822075469055698</c:v>
                </c:pt>
                <c:pt idx="83">
                  <c:v>1.8907486728077998</c:v>
                </c:pt>
                <c:pt idx="84">
                  <c:v>2.0143136762317595</c:v>
                </c:pt>
                <c:pt idx="85">
                  <c:v>2.154108852068461</c:v>
                </c:pt>
                <c:pt idx="86">
                  <c:v>2.311300805609223</c:v>
                </c:pt>
                <c:pt idx="87">
                  <c:v>2.4869452843167932</c:v>
                </c:pt>
                <c:pt idx="88">
                  <c:v>2.6818953623852519</c:v>
                </c:pt>
                <c:pt idx="89">
                  <c:v>2.8966881774163955</c:v>
                </c:pt>
                <c:pt idx="90">
                  <c:v>3.1314118045811714</c:v>
                </c:pt>
                <c:pt idx="91">
                  <c:v>3.3855573743214453</c:v>
                </c:pt>
                <c:pt idx="92">
                  <c:v>3.6578661574604627</c:v>
                </c:pt>
                <c:pt idx="93">
                  <c:v>3.9461866862198693</c:v>
                </c:pt>
                <c:pt idx="94">
                  <c:v>4.2473622155370796</c:v>
                </c:pt>
                <c:pt idx="95">
                  <c:v>4.5571726061704387</c:v>
                </c:pt>
                <c:pt idx="96">
                  <c:v>4.8703552977665661</c:v>
                </c:pt>
                <c:pt idx="97">
                  <c:v>5.1807257236166322</c:v>
                </c:pt>
                <c:pt idx="98">
                  <c:v>5.4814072723014347</c:v>
                </c:pt>
                <c:pt idx="99">
                  <c:v>5.7651651522252383</c:v>
                </c:pt>
                <c:pt idx="100">
                  <c:v>6.0248196668653815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97-41C3-A583-9720792FE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0234176"/>
        <c:axId val="1510243776"/>
      </c:lineChart>
      <c:catAx>
        <c:axId val="151023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0243776"/>
        <c:crosses val="autoZero"/>
        <c:auto val="1"/>
        <c:lblAlgn val="ctr"/>
        <c:lblOffset val="100"/>
        <c:noMultiLvlLbl val="0"/>
      </c:catAx>
      <c:valAx>
        <c:axId val="151024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023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Лист1!$F$1</c:f>
              <c:strCache>
                <c:ptCount val="1"/>
                <c:pt idx="0">
                  <c:v>Карасей (тыс.)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Лист1!$E$2:$E$12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Лист1!$F$2:$F$12</c:f>
              <c:numCache>
                <c:formatCode>General</c:formatCode>
                <c:ptCount val="11"/>
                <c:pt idx="0">
                  <c:v>1.5</c:v>
                </c:pt>
                <c:pt idx="1">
                  <c:v>1.5535000000000003</c:v>
                </c:pt>
                <c:pt idx="2">
                  <c:v>1.6047978825000004</c:v>
                </c:pt>
                <c:pt idx="3">
                  <c:v>1.6531823940928703</c:v>
                </c:pt>
                <c:pt idx="4">
                  <c:v>1.6979052152381413</c:v>
                </c:pt>
                <c:pt idx="5">
                  <c:v>1.7381910757375689</c:v>
                </c:pt>
                <c:pt idx="6">
                  <c:v>1.7732506009522293</c:v>
                </c:pt>
                <c:pt idx="7">
                  <c:v>1.8022963215084786</c:v>
                </c:pt>
                <c:pt idx="8">
                  <c:v>1.8245622982155199</c:v>
                </c:pt>
                <c:pt idx="9">
                  <c:v>1.839327752259093</c:v>
                </c:pt>
                <c:pt idx="10">
                  <c:v>1.8459448949884156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49-46B2-90E5-9F44866CD2B7}"/>
            </c:ext>
          </c:extLst>
        </c:ser>
        <c:ser>
          <c:idx val="1"/>
          <c:order val="1"/>
          <c:tx>
            <c:strRef>
              <c:f>Лист1!$G$1</c:f>
              <c:strCache>
                <c:ptCount val="1"/>
                <c:pt idx="0">
                  <c:v>Щук (тыс.)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Лист1!$E$2:$E$12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Лист1!$G$2:$G$12</c:f>
              <c:numCache>
                <c:formatCode>General</c:formatCode>
                <c:ptCount val="11"/>
                <c:pt idx="0">
                  <c:v>1.5</c:v>
                </c:pt>
                <c:pt idx="1">
                  <c:v>1.5750000000000002</c:v>
                </c:pt>
                <c:pt idx="2">
                  <c:v>1.6621762500000004</c:v>
                </c:pt>
                <c:pt idx="3">
                  <c:v>1.7627043176341797</c:v>
                </c:pt>
                <c:pt idx="4">
                  <c:v>1.877841060261193</c:v>
                </c:pt>
                <c:pt idx="5">
                  <c:v>2.008896567195654</c:v>
                </c:pt>
                <c:pt idx="6">
                  <c:v>2.1571915189940212</c:v>
                </c:pt>
                <c:pt idx="7">
                  <c:v>2.3239964828371393</c:v>
                </c:pt>
                <c:pt idx="8">
                  <c:v>2.5104498657750272</c:v>
                </c:pt>
                <c:pt idx="9">
                  <c:v>2.717452096862857</c:v>
                </c:pt>
                <c:pt idx="10">
                  <c:v>2.9455353928960228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49-46B2-90E5-9F44866CD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644976"/>
        <c:axId val="1514646416"/>
      </c:lineChart>
      <c:catAx>
        <c:axId val="151464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646416"/>
        <c:crosses val="autoZero"/>
        <c:auto val="1"/>
        <c:lblAlgn val="ctr"/>
        <c:lblOffset val="100"/>
        <c:noMultiLvlLbl val="0"/>
      </c:catAx>
      <c:valAx>
        <c:axId val="151464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64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2</xdr:row>
      <xdr:rowOff>3810</xdr:rowOff>
    </xdr:from>
    <xdr:to>
      <xdr:col>15</xdr:col>
      <xdr:colOff>312420</xdr:colOff>
      <xdr:row>17</xdr:row>
      <xdr:rowOff>3810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C31408A-EF81-944D-6091-503884F5A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</xdr:colOff>
      <xdr:row>17</xdr:row>
      <xdr:rowOff>148590</xdr:rowOff>
    </xdr:from>
    <xdr:to>
      <xdr:col>15</xdr:col>
      <xdr:colOff>320040</xdr:colOff>
      <xdr:row>32</xdr:row>
      <xdr:rowOff>148590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FC7EFE1-52B7-D90A-656C-B7894FC37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18CE-9581-43AC-8E37-A10D59241B88}">
  <dimension ref="A1:G102"/>
  <sheetViews>
    <sheetView tabSelected="1" workbookViewId="0">
      <selection activeCell="Q20" sqref="Q20"/>
    </sheetView>
  </sheetViews>
  <sheetFormatPr defaultRowHeight="14.4" x14ac:dyDescent="0.3"/>
  <cols>
    <col min="1" max="1" width="50.109375" bestFit="1" customWidth="1"/>
    <col min="5" max="5" width="4.109375" bestFit="1" customWidth="1"/>
    <col min="6" max="6" width="13.33203125" bestFit="1" customWidth="1"/>
    <col min="7" max="7" width="12" bestFit="1" customWidth="1"/>
  </cols>
  <sheetData>
    <row r="1" spans="1:7" x14ac:dyDescent="0.3">
      <c r="A1" s="6" t="s">
        <v>8</v>
      </c>
      <c r="B1" s="6"/>
      <c r="E1" s="2" t="s">
        <v>0</v>
      </c>
      <c r="F1" s="2" t="s">
        <v>1</v>
      </c>
      <c r="G1" s="2" t="s">
        <v>2</v>
      </c>
    </row>
    <row r="2" spans="1:7" x14ac:dyDescent="0.3">
      <c r="A2" s="5" t="s">
        <v>3</v>
      </c>
      <c r="B2" s="1">
        <v>1.1240000000000001</v>
      </c>
      <c r="E2" s="3">
        <v>0</v>
      </c>
      <c r="F2" s="4">
        <v>1.5</v>
      </c>
      <c r="G2" s="4">
        <v>1.5</v>
      </c>
    </row>
    <row r="3" spans="1:7" x14ac:dyDescent="0.3">
      <c r="A3" s="5" t="s">
        <v>4</v>
      </c>
      <c r="B3" s="1">
        <v>0.03</v>
      </c>
      <c r="E3" s="3">
        <v>1</v>
      </c>
      <c r="F3" s="4">
        <f>($B$2-$B$3*F2)*F2-$B$4-$B$7*F2*G2</f>
        <v>1.5535000000000003</v>
      </c>
      <c r="G3" s="4">
        <f>$B$5*G2+$B$6*F2*G2</f>
        <v>1.5750000000000002</v>
      </c>
    </row>
    <row r="4" spans="1:7" x14ac:dyDescent="0.3">
      <c r="A4" s="5" t="s">
        <v>9</v>
      </c>
      <c r="B4" s="1">
        <v>0.02</v>
      </c>
      <c r="E4" s="3">
        <v>2</v>
      </c>
      <c r="F4" s="4">
        <f t="shared" ref="F4:F28" si="0">($B$2-$B$3*F3)*F3-$B$4-$B$7*F3*G3</f>
        <v>1.6047978825000004</v>
      </c>
      <c r="G4" s="4">
        <f t="shared" ref="G4:G28" si="1">$B$5*G3+$B$6*F3*G3</f>
        <v>1.6621762500000004</v>
      </c>
    </row>
    <row r="5" spans="1:7" x14ac:dyDescent="0.3">
      <c r="A5" s="5" t="s">
        <v>5</v>
      </c>
      <c r="B5" s="1">
        <v>0.9</v>
      </c>
      <c r="E5" s="3">
        <v>3</v>
      </c>
      <c r="F5" s="4">
        <f t="shared" si="0"/>
        <v>1.6531823940928703</v>
      </c>
      <c r="G5" s="4">
        <f t="shared" si="1"/>
        <v>1.7627043176341797</v>
      </c>
    </row>
    <row r="6" spans="1:7" x14ac:dyDescent="0.3">
      <c r="A6" s="5" t="s">
        <v>6</v>
      </c>
      <c r="B6" s="1">
        <v>0.1</v>
      </c>
      <c r="E6" s="3">
        <v>4</v>
      </c>
      <c r="F6" s="4">
        <f t="shared" si="0"/>
        <v>1.6979052152381413</v>
      </c>
      <c r="G6" s="4">
        <f t="shared" si="1"/>
        <v>1.877841060261193</v>
      </c>
    </row>
    <row r="7" spans="1:7" x14ac:dyDescent="0.3">
      <c r="A7" s="5" t="s">
        <v>7</v>
      </c>
      <c r="B7" s="1">
        <v>0.02</v>
      </c>
      <c r="E7" s="3">
        <v>5</v>
      </c>
      <c r="F7" s="4">
        <f t="shared" si="0"/>
        <v>1.7381910757375689</v>
      </c>
      <c r="G7" s="4">
        <f t="shared" si="1"/>
        <v>2.008896567195654</v>
      </c>
    </row>
    <row r="8" spans="1:7" x14ac:dyDescent="0.3">
      <c r="E8" s="3">
        <v>6</v>
      </c>
      <c r="F8" s="4">
        <f t="shared" si="0"/>
        <v>1.7732506009522293</v>
      </c>
      <c r="G8" s="4">
        <f t="shared" si="1"/>
        <v>2.1571915189940212</v>
      </c>
    </row>
    <row r="9" spans="1:7" x14ac:dyDescent="0.3">
      <c r="E9" s="3">
        <v>7</v>
      </c>
      <c r="F9" s="4">
        <f t="shared" si="0"/>
        <v>1.8022963215084786</v>
      </c>
      <c r="G9" s="4">
        <f t="shared" si="1"/>
        <v>2.3239964828371393</v>
      </c>
    </row>
    <row r="10" spans="1:7" x14ac:dyDescent="0.3">
      <c r="E10" s="3">
        <v>8</v>
      </c>
      <c r="F10" s="4">
        <f t="shared" si="0"/>
        <v>1.8245622982155199</v>
      </c>
      <c r="G10" s="4">
        <f t="shared" si="1"/>
        <v>2.5104498657750272</v>
      </c>
    </row>
    <row r="11" spans="1:7" x14ac:dyDescent="0.3">
      <c r="E11" s="3">
        <v>9</v>
      </c>
      <c r="F11" s="4">
        <f t="shared" si="0"/>
        <v>1.839327752259093</v>
      </c>
      <c r="G11" s="4">
        <f t="shared" si="1"/>
        <v>2.717452096862857</v>
      </c>
    </row>
    <row r="12" spans="1:7" x14ac:dyDescent="0.3">
      <c r="E12" s="3">
        <v>10</v>
      </c>
      <c r="F12" s="4">
        <f t="shared" si="0"/>
        <v>1.8459448949884156</v>
      </c>
      <c r="G12" s="4">
        <f t="shared" si="1"/>
        <v>2.9455353928960228</v>
      </c>
    </row>
    <row r="13" spans="1:7" x14ac:dyDescent="0.3">
      <c r="E13" s="3">
        <v>11</v>
      </c>
      <c r="F13" s="4">
        <f t="shared" si="0"/>
        <v>1.8438707648764834</v>
      </c>
      <c r="G13" s="4">
        <f t="shared" si="1"/>
        <v>3.1947114557588314</v>
      </c>
    </row>
    <row r="14" spans="1:7" x14ac:dyDescent="0.3">
      <c r="E14" s="3">
        <v>12</v>
      </c>
      <c r="F14" s="4">
        <f t="shared" si="0"/>
        <v>1.832702256684388</v>
      </c>
      <c r="G14" s="4">
        <f t="shared" si="1"/>
        <v>3.4643038157319186</v>
      </c>
    </row>
    <row r="15" spans="1:7" x14ac:dyDescent="0.3">
      <c r="E15" s="3">
        <v>13</v>
      </c>
      <c r="F15" s="4">
        <f t="shared" si="0"/>
        <v>1.8122126612449265</v>
      </c>
      <c r="G15" s="4">
        <f t="shared" si="1"/>
        <v>3.7527771762519491</v>
      </c>
    </row>
    <row r="16" spans="1:7" x14ac:dyDescent="0.3">
      <c r="E16" s="3">
        <v>14</v>
      </c>
      <c r="F16" s="4">
        <f t="shared" si="0"/>
        <v>1.78238698307931</v>
      </c>
      <c r="G16" s="4">
        <f t="shared" si="1"/>
        <v>4.0575824899902306</v>
      </c>
    </row>
    <row r="17" spans="5:7" x14ac:dyDescent="0.3">
      <c r="E17" s="3">
        <v>15</v>
      </c>
      <c r="F17" s="4">
        <f t="shared" si="0"/>
        <v>1.7434522239990451</v>
      </c>
      <c r="G17" s="4">
        <f t="shared" si="1"/>
        <v>4.37504246228412</v>
      </c>
    </row>
    <row r="18" spans="5:7" x14ac:dyDescent="0.3">
      <c r="E18" s="3">
        <v>16</v>
      </c>
      <c r="F18" s="4">
        <f t="shared" si="0"/>
        <v>1.6958979798347202</v>
      </c>
      <c r="G18" s="4">
        <f t="shared" si="1"/>
        <v>4.7003059671516585</v>
      </c>
    </row>
    <row r="19" spans="5:7" x14ac:dyDescent="0.3">
      <c r="E19" s="3">
        <v>17</v>
      </c>
      <c r="F19" s="4">
        <f t="shared" si="0"/>
        <v>1.6404824427080495</v>
      </c>
      <c r="G19" s="4">
        <f t="shared" si="1"/>
        <v>5.0273993098662508</v>
      </c>
    </row>
    <row r="20" spans="5:7" x14ac:dyDescent="0.3">
      <c r="E20" s="3">
        <v>18</v>
      </c>
      <c r="F20" s="4">
        <f t="shared" si="0"/>
        <v>1.5782195802524839</v>
      </c>
      <c r="G20" s="4">
        <f t="shared" si="1"/>
        <v>5.3493954089114411</v>
      </c>
    </row>
    <row r="21" spans="5:7" x14ac:dyDescent="0.3">
      <c r="E21" s="3">
        <v>19</v>
      </c>
      <c r="F21" s="4">
        <f t="shared" si="0"/>
        <v>1.5103450853618867</v>
      </c>
      <c r="G21" s="4">
        <f t="shared" si="1"/>
        <v>5.6587079257059747</v>
      </c>
    </row>
    <row r="22" spans="5:7" x14ac:dyDescent="0.3">
      <c r="E22" s="3">
        <v>20</v>
      </c>
      <c r="F22" s="4">
        <f t="shared" si="0"/>
        <v>1.438261573538689</v>
      </c>
      <c r="G22" s="4">
        <f t="shared" si="1"/>
        <v>5.9474973036442149</v>
      </c>
    </row>
    <row r="23" spans="5:7" x14ac:dyDescent="0.3">
      <c r="E23" s="3">
        <v>21</v>
      </c>
      <c r="F23" s="4">
        <f t="shared" si="0"/>
        <v>1.3634669814288185</v>
      </c>
      <c r="G23" s="4">
        <f t="shared" si="1"/>
        <v>6.2081532563354376</v>
      </c>
    </row>
    <row r="24" spans="5:7" x14ac:dyDescent="0.3">
      <c r="E24" s="3">
        <v>22</v>
      </c>
      <c r="F24" s="4">
        <f t="shared" si="0"/>
        <v>1.2874733812293302</v>
      </c>
      <c r="G24" s="4">
        <f t="shared" si="1"/>
        <v>6.4337991287682108</v>
      </c>
    </row>
    <row r="25" spans="5:7" x14ac:dyDescent="0.3">
      <c r="E25" s="3">
        <v>23</v>
      </c>
      <c r="F25" s="4">
        <f t="shared" si="0"/>
        <v>1.2117255469112342</v>
      </c>
      <c r="G25" s="4">
        <f t="shared" si="1"/>
        <v>6.6187537277379427</v>
      </c>
    </row>
    <row r="26" spans="5:7" x14ac:dyDescent="0.3">
      <c r="E26" s="3">
        <v>24</v>
      </c>
      <c r="F26" s="4">
        <f t="shared" si="0"/>
        <v>1.1375288910848271</v>
      </c>
      <c r="G26" s="4">
        <f t="shared" si="1"/>
        <v>6.7588896530255518</v>
      </c>
    </row>
    <row r="27" spans="5:7" x14ac:dyDescent="0.3">
      <c r="E27" s="3">
        <v>25</v>
      </c>
      <c r="F27" s="4">
        <f t="shared" si="0"/>
        <v>1.0659946691983482</v>
      </c>
      <c r="G27" s="4">
        <f t="shared" si="1"/>
        <v>6.8518439129200841</v>
      </c>
    </row>
    <row r="28" spans="5:7" x14ac:dyDescent="0.3">
      <c r="E28" s="3">
        <v>26</v>
      </c>
      <c r="F28" s="4">
        <f t="shared" si="0"/>
        <v>0.99800708742912558</v>
      </c>
      <c r="G28" s="4">
        <f t="shared" si="1"/>
        <v>6.8970624301632721</v>
      </c>
    </row>
    <row r="29" spans="5:7" x14ac:dyDescent="0.3">
      <c r="E29" s="3">
        <v>27</v>
      </c>
      <c r="F29" s="4">
        <f t="shared" ref="F29:F92" si="2">($B$2-$B$3*F28)*F28-$B$4-$B$7*F28*G28</f>
        <v>0.93421307811869225</v>
      </c>
      <c r="G29" s="4">
        <f t="shared" ref="G29:G92" si="3">$B$5*G28+$B$6*F28*G28</f>
        <v>6.8956879059213545</v>
      </c>
    </row>
    <row r="30" spans="5:7" x14ac:dyDescent="0.3">
      <c r="E30" s="3">
        <v>28</v>
      </c>
      <c r="F30" s="4">
        <f t="shared" si="2"/>
        <v>0.87503204105883747</v>
      </c>
      <c r="G30" s="4">
        <f t="shared" si="3"/>
        <v>6.8503232977628823</v>
      </c>
    </row>
    <row r="31" spans="5:7" x14ac:dyDescent="0.3">
      <c r="E31" s="3">
        <v>29</v>
      </c>
      <c r="F31" s="4">
        <f t="shared" si="2"/>
        <v>0.82068053442065825</v>
      </c>
      <c r="G31" s="4">
        <f t="shared" si="3"/>
        <v>6.7647162057020305</v>
      </c>
    </row>
    <row r="32" spans="5:7" x14ac:dyDescent="0.3">
      <c r="E32" s="3">
        <v>30</v>
      </c>
      <c r="F32" s="4">
        <f t="shared" si="2"/>
        <v>0.77120600628351799</v>
      </c>
      <c r="G32" s="4">
        <f t="shared" si="3"/>
        <v>6.643411676221791</v>
      </c>
    </row>
    <row r="33" spans="5:7" x14ac:dyDescent="0.3">
      <c r="E33" s="3">
        <v>31</v>
      </c>
      <c r="F33" s="4">
        <f t="shared" si="2"/>
        <v>0.72652401020051505</v>
      </c>
      <c r="G33" s="4">
        <f t="shared" si="3"/>
        <v>6.4914144072912423</v>
      </c>
    </row>
    <row r="34" spans="5:7" x14ac:dyDescent="0.3">
      <c r="E34" s="3">
        <v>32</v>
      </c>
      <c r="F34" s="4">
        <f t="shared" si="2"/>
        <v>0.68645450480227121</v>
      </c>
      <c r="G34" s="4">
        <f t="shared" si="3"/>
        <v>6.3138898092679812</v>
      </c>
    </row>
    <row r="35" spans="5:7" x14ac:dyDescent="0.3">
      <c r="E35" s="3">
        <v>33</v>
      </c>
      <c r="F35" s="4">
        <f t="shared" si="2"/>
        <v>0.65075430773490983</v>
      </c>
      <c r="G35" s="4">
        <f t="shared" si="3"/>
        <v>6.1159206385808993</v>
      </c>
    </row>
    <row r="36" spans="5:7" x14ac:dyDescent="0.3">
      <c r="E36" s="3">
        <v>34</v>
      </c>
      <c r="F36" s="4">
        <f t="shared" si="2"/>
        <v>0.61914417279654521</v>
      </c>
      <c r="G36" s="4">
        <f t="shared" si="3"/>
        <v>5.9023247448549458</v>
      </c>
    </row>
    <row r="37" spans="5:7" x14ac:dyDescent="0.3">
      <c r="E37" s="3">
        <v>35</v>
      </c>
      <c r="F37" s="4">
        <f t="shared" si="2"/>
        <v>0.59133006558748347</v>
      </c>
      <c r="G37" s="4">
        <f t="shared" si="3"/>
        <v>5.677531267542431</v>
      </c>
    </row>
    <row r="38" spans="5:7" x14ac:dyDescent="0.3">
      <c r="E38" s="3">
        <v>36</v>
      </c>
      <c r="F38" s="4">
        <f t="shared" si="2"/>
        <v>0.56701895759008336</v>
      </c>
      <c r="G38" s="4">
        <f t="shared" si="3"/>
        <v>5.4455076344692728</v>
      </c>
    </row>
    <row r="39" spans="5:7" x14ac:dyDescent="0.3">
      <c r="E39" s="3">
        <v>37</v>
      </c>
      <c r="F39" s="4">
        <f t="shared" si="2"/>
        <v>0.5459298721343453</v>
      </c>
      <c r="G39" s="4">
        <f t="shared" si="3"/>
        <v>5.209727477266906</v>
      </c>
    </row>
    <row r="40" spans="5:7" x14ac:dyDescent="0.3">
      <c r="E40" s="3">
        <v>38</v>
      </c>
      <c r="F40" s="4">
        <f t="shared" si="2"/>
        <v>0.52780107640996332</v>
      </c>
      <c r="G40" s="4">
        <f t="shared" si="3"/>
        <v>4.9731693150921261</v>
      </c>
    </row>
    <row r="41" spans="5:7" x14ac:dyDescent="0.3">
      <c r="E41" s="3">
        <v>39</v>
      </c>
      <c r="F41" s="4">
        <f t="shared" si="2"/>
        <v>0.51239430824352084</v>
      </c>
      <c r="G41" s="4">
        <f t="shared" si="3"/>
        <v>4.7383367953503761</v>
      </c>
    </row>
    <row r="42" spans="5:7" x14ac:dyDescent="0.3">
      <c r="E42" s="3">
        <v>40</v>
      </c>
      <c r="F42" s="4">
        <f t="shared" si="2"/>
        <v>0.49949682856253924</v>
      </c>
      <c r="G42" s="4">
        <f t="shared" si="3"/>
        <v>4.5072927962631768</v>
      </c>
    </row>
    <row r="43" spans="5:7" x14ac:dyDescent="0.3">
      <c r="E43" s="3">
        <v>41</v>
      </c>
      <c r="F43" s="4">
        <f t="shared" si="2"/>
        <v>0.48892195370924835</v>
      </c>
      <c r="G43" s="4">
        <f t="shared" si="3"/>
        <v>4.2817013623504829</v>
      </c>
    </row>
    <row r="44" spans="5:7" x14ac:dyDescent="0.3">
      <c r="E44" s="3">
        <v>42</v>
      </c>
      <c r="F44" s="4">
        <f t="shared" si="2"/>
        <v>0.48050857975903011</v>
      </c>
      <c r="G44" s="4">
        <f t="shared" si="3"/>
        <v>4.0628730056434295</v>
      </c>
    </row>
    <row r="45" spans="5:7" x14ac:dyDescent="0.3">
      <c r="E45" s="3">
        <v>43</v>
      </c>
      <c r="F45" s="4">
        <f t="shared" si="2"/>
        <v>0.47412008203882811</v>
      </c>
      <c r="G45" s="4">
        <f t="shared" si="3"/>
        <v>3.8518102388473889</v>
      </c>
    </row>
    <row r="46" spans="5:7" x14ac:dyDescent="0.3">
      <c r="E46" s="3">
        <v>44</v>
      </c>
      <c r="F46" s="4">
        <f t="shared" si="2"/>
        <v>0.46964286491706125</v>
      </c>
      <c r="G46" s="4">
        <f t="shared" si="3"/>
        <v>3.6492512736066822</v>
      </c>
    </row>
    <row r="47" spans="5:7" x14ac:dyDescent="0.3">
      <c r="E47" s="3">
        <v>45</v>
      </c>
      <c r="F47" s="4">
        <f t="shared" si="2"/>
        <v>0.46698475109097415</v>
      </c>
      <c r="G47" s="4">
        <f t="shared" si="3"/>
        <v>3.4557106285399017</v>
      </c>
    </row>
    <row r="48" spans="5:7" x14ac:dyDescent="0.3">
      <c r="E48" s="3">
        <v>46</v>
      </c>
      <c r="F48" s="4">
        <f t="shared" si="2"/>
        <v>0.46607333413948726</v>
      </c>
      <c r="G48" s="4">
        <f t="shared" si="3"/>
        <v>3.2715159824570255</v>
      </c>
    </row>
    <row r="49" spans="5:7" x14ac:dyDescent="0.3">
      <c r="E49" s="3">
        <v>47</v>
      </c>
      <c r="F49" s="4">
        <f t="shared" si="2"/>
        <v>0.46685436975621941</v>
      </c>
      <c r="G49" s="4">
        <f t="shared" si="3"/>
        <v>3.0968410203747596</v>
      </c>
    </row>
    <row r="50" spans="5:7" x14ac:dyDescent="0.3">
      <c r="E50" s="3">
        <v>48</v>
      </c>
      <c r="F50" s="4">
        <f t="shared" si="2"/>
        <v>0.46929024627313098</v>
      </c>
      <c r="G50" s="4">
        <f t="shared" si="3"/>
        <v>2.93173429461751</v>
      </c>
    </row>
    <row r="51" spans="5:7" x14ac:dyDescent="0.3">
      <c r="E51" s="3">
        <v>49</v>
      </c>
      <c r="F51" s="4">
        <f t="shared" si="2"/>
        <v>0.47335855057101778</v>
      </c>
      <c r="G51" s="4">
        <f t="shared" si="3"/>
        <v>2.7761442960686025</v>
      </c>
    </row>
    <row r="52" spans="5:7" x14ac:dyDescent="0.3">
      <c r="E52" s="3">
        <v>50</v>
      </c>
      <c r="F52" s="4">
        <f t="shared" si="2"/>
        <v>0.47905072851660252</v>
      </c>
      <c r="G52" s="4">
        <f t="shared" si="3"/>
        <v>2.6299410304780455</v>
      </c>
    </row>
    <row r="53" spans="5:7" x14ac:dyDescent="0.3">
      <c r="E53" s="3">
        <v>51</v>
      </c>
      <c r="F53" s="4">
        <f t="shared" si="2"/>
        <v>0.48637082750576843</v>
      </c>
      <c r="G53" s="4">
        <f t="shared" si="3"/>
        <v>2.4929344440908623</v>
      </c>
    </row>
    <row r="54" spans="5:7" x14ac:dyDescent="0.3">
      <c r="E54" s="3">
        <v>52</v>
      </c>
      <c r="F54" s="4">
        <f t="shared" si="2"/>
        <v>0.49533430089122221</v>
      </c>
      <c r="G54" s="4">
        <f t="shared" si="3"/>
        <v>2.3648900585307868</v>
      </c>
    </row>
    <row r="55" spans="5:7" x14ac:dyDescent="0.3">
      <c r="E55" s="3">
        <v>53</v>
      </c>
      <c r="F55" s="4">
        <f t="shared" si="2"/>
        <v>0.50596684883601295</v>
      </c>
      <c r="G55" s="4">
        <f t="shared" si="3"/>
        <v>2.2455421690604029</v>
      </c>
    </row>
    <row r="56" spans="5:7" x14ac:dyDescent="0.3">
      <c r="E56" s="3">
        <v>54</v>
      </c>
      <c r="F56" s="4">
        <f t="shared" si="2"/>
        <v>0.5183032666238897</v>
      </c>
      <c r="G56" s="4">
        <f t="shared" si="3"/>
        <v>2.1346049416751507</v>
      </c>
    </row>
    <row r="57" spans="5:7" x14ac:dyDescent="0.3">
      <c r="E57" s="3">
        <v>55</v>
      </c>
      <c r="F57" s="4">
        <f t="shared" si="2"/>
        <v>0.53238626911502762</v>
      </c>
      <c r="G57" s="4">
        <f t="shared" si="3"/>
        <v>2.0317817189298082</v>
      </c>
    </row>
    <row r="58" spans="5:7" x14ac:dyDescent="0.3">
      <c r="E58" s="3">
        <v>56</v>
      </c>
      <c r="F58" s="4">
        <f t="shared" si="2"/>
        <v>0.54826525851908137</v>
      </c>
      <c r="G58" s="4">
        <f t="shared" si="3"/>
        <v>1.9367728159365432</v>
      </c>
    </row>
    <row r="59" spans="5:7" x14ac:dyDescent="0.3">
      <c r="E59" s="3">
        <v>57</v>
      </c>
      <c r="F59" s="4">
        <f t="shared" si="2"/>
        <v>0.56599500179203399</v>
      </c>
      <c r="G59" s="4">
        <f t="shared" si="3"/>
        <v>1.8492820592051067</v>
      </c>
    </row>
    <row r="60" spans="5:7" x14ac:dyDescent="0.3">
      <c r="E60" s="3">
        <v>58</v>
      </c>
      <c r="F60" s="4">
        <f t="shared" si="2"/>
        <v>0.58563418370436382</v>
      </c>
      <c r="G60" s="4">
        <f t="shared" si="3"/>
        <v>1.7690222935259732</v>
      </c>
    </row>
    <row r="61" spans="5:7" x14ac:dyDescent="0.3">
      <c r="E61" s="3">
        <v>59</v>
      </c>
      <c r="F61" s="4">
        <f t="shared" si="2"/>
        <v>0.60724380203353456</v>
      </c>
      <c r="G61" s="4">
        <f t="shared" si="3"/>
        <v>1.6957200568557664</v>
      </c>
    </row>
    <row r="62" spans="5:7" x14ac:dyDescent="0.3">
      <c r="E62" s="3">
        <v>60</v>
      </c>
      <c r="F62" s="4">
        <f t="shared" si="2"/>
        <v>0.6308853725422563</v>
      </c>
      <c r="G62" s="4">
        <f t="shared" si="3"/>
        <v>1.6291196006211517</v>
      </c>
    </row>
    <row r="63" spans="5:7" x14ac:dyDescent="0.3">
      <c r="E63" s="3">
        <v>61</v>
      </c>
      <c r="F63" s="4">
        <f t="shared" si="2"/>
        <v>0.65661891361578739</v>
      </c>
      <c r="G63" s="4">
        <f t="shared" si="3"/>
        <v>1.5689864131744131</v>
      </c>
    </row>
    <row r="64" spans="5:7" x14ac:dyDescent="0.3">
      <c r="E64" s="3">
        <v>62</v>
      </c>
      <c r="F64" s="4">
        <f t="shared" si="2"/>
        <v>0.68450068389067553</v>
      </c>
      <c r="G64" s="4">
        <f t="shared" si="3"/>
        <v>1.5151103872666232</v>
      </c>
    </row>
    <row r="65" spans="5:7" x14ac:dyDescent="0.3">
      <c r="E65" s="3">
        <v>63</v>
      </c>
      <c r="F65" s="4">
        <f t="shared" si="2"/>
        <v>0.71458065118063785</v>
      </c>
      <c r="G65" s="4">
        <f t="shared" si="3"/>
        <v>1.4673087581653479</v>
      </c>
    </row>
    <row r="66" spans="5:7" x14ac:dyDescent="0.3">
      <c r="E66" s="3">
        <v>64</v>
      </c>
      <c r="F66" s="4">
        <f t="shared" si="2"/>
        <v>0.74689967775792765</v>
      </c>
      <c r="G66" s="4">
        <f t="shared" si="3"/>
        <v>1.425428927138098</v>
      </c>
    </row>
    <row r="67" spans="5:7" x14ac:dyDescent="0.3">
      <c r="E67" s="3">
        <v>65</v>
      </c>
      <c r="F67" s="4">
        <f t="shared" si="2"/>
        <v>0.78148641581393852</v>
      </c>
      <c r="G67" s="4">
        <f t="shared" si="3"/>
        <v>1.3893512750589156</v>
      </c>
    </row>
    <row r="68" spans="5:7" x14ac:dyDescent="0.3">
      <c r="E68" s="3">
        <v>66</v>
      </c>
      <c r="F68" s="4">
        <f t="shared" si="2"/>
        <v>0.81835391786676903</v>
      </c>
      <c r="G68" s="4">
        <f t="shared" si="3"/>
        <v>1.3589920623782559</v>
      </c>
    </row>
    <row r="69" spans="5:7" x14ac:dyDescent="0.3">
      <c r="E69" s="3">
        <v>67</v>
      </c>
      <c r="F69" s="4">
        <f t="shared" si="2"/>
        <v>0.85749598006367</v>
      </c>
      <c r="G69" s="4">
        <f t="shared" si="3"/>
        <v>1.3343065040001389</v>
      </c>
    </row>
    <row r="70" spans="5:7" x14ac:dyDescent="0.3">
      <c r="E70" s="3">
        <v>68</v>
      </c>
      <c r="F70" s="4">
        <f t="shared" si="2"/>
        <v>0.89888325164974603</v>
      </c>
      <c r="G70" s="4">
        <f t="shared" si="3"/>
        <v>1.3152920999354181</v>
      </c>
    </row>
    <row r="71" spans="5:7" x14ac:dyDescent="0.3">
      <c r="E71" s="3">
        <v>69</v>
      </c>
      <c r="F71" s="4">
        <f t="shared" si="2"/>
        <v>0.94245916105823868</v>
      </c>
      <c r="G71" s="4">
        <f t="shared" si="3"/>
        <v>1.3019922939077935</v>
      </c>
    </row>
    <row r="72" spans="5:7" x14ac:dyDescent="0.3">
      <c r="E72" s="3">
        <v>70</v>
      </c>
      <c r="F72" s="4">
        <f t="shared" si="2"/>
        <v>0.98813572762116963</v>
      </c>
      <c r="G72" s="4">
        <f t="shared" si="3"/>
        <v>1.2945005210190774</v>
      </c>
    </row>
    <row r="73" spans="5:7" x14ac:dyDescent="0.3">
      <c r="E73" s="3">
        <v>71</v>
      </c>
      <c r="F73" s="4">
        <f t="shared" si="2"/>
        <v>1.0357893470752888</v>
      </c>
      <c r="G73" s="4">
        <f t="shared" si="3"/>
        <v>1.2929646903414866</v>
      </c>
    </row>
    <row r="74" spans="5:7" x14ac:dyDescent="0.3">
      <c r="E74" s="3">
        <v>72</v>
      </c>
      <c r="F74" s="4">
        <f t="shared" si="2"/>
        <v>1.0852566579191809</v>
      </c>
      <c r="G74" s="4">
        <f t="shared" si="3"/>
        <v>1.2975921265473591</v>
      </c>
    </row>
    <row r="75" spans="5:7" x14ac:dyDescent="0.3">
      <c r="E75" s="3">
        <v>73</v>
      </c>
      <c r="F75" s="4">
        <f t="shared" si="2"/>
        <v>1.1363306132024416</v>
      </c>
      <c r="G75" s="4">
        <f t="shared" si="3"/>
        <v>1.3086549633525264</v>
      </c>
    </row>
    <row r="76" spans="5:7" x14ac:dyDescent="0.3">
      <c r="E76" s="3">
        <v>74</v>
      </c>
      <c r="F76" s="4">
        <f t="shared" si="2"/>
        <v>1.1887568974249776</v>
      </c>
      <c r="G76" s="4">
        <f t="shared" si="3"/>
        <v>1.3264959367149531</v>
      </c>
    </row>
    <row r="77" spans="5:7" x14ac:dyDescent="0.3">
      <c r="E77" s="3">
        <v>75</v>
      </c>
      <c r="F77" s="4">
        <f t="shared" si="2"/>
        <v>1.2422308399868891</v>
      </c>
      <c r="G77" s="4">
        <f t="shared" si="3"/>
        <v>1.3515344624610686</v>
      </c>
    </row>
    <row r="78" spans="5:7" x14ac:dyDescent="0.3">
      <c r="E78" s="3">
        <v>76</v>
      </c>
      <c r="F78" s="4">
        <f t="shared" si="2"/>
        <v>1.2963949845393425</v>
      </c>
      <c r="G78" s="4">
        <f t="shared" si="3"/>
        <v>1.3842727952723859</v>
      </c>
    </row>
    <row r="79" spans="5:7" x14ac:dyDescent="0.3">
      <c r="E79" s="3">
        <v>77</v>
      </c>
      <c r="F79" s="4">
        <f t="shared" si="2"/>
        <v>1.3508374777635506</v>
      </c>
      <c r="G79" s="4">
        <f t="shared" si="3"/>
        <v>1.4253019466476851</v>
      </c>
    </row>
    <row r="80" spans="5:7" x14ac:dyDescent="0.3">
      <c r="E80" s="3">
        <v>78</v>
      </c>
      <c r="F80" s="4">
        <f t="shared" si="2"/>
        <v>1.4050914425330925</v>
      </c>
      <c r="G80" s="4">
        <f t="shared" si="3"/>
        <v>1.4753068806490202</v>
      </c>
    </row>
    <row r="81" spans="5:7" x14ac:dyDescent="0.3">
      <c r="E81" s="3">
        <v>79</v>
      </c>
      <c r="F81" s="4">
        <f t="shared" si="2"/>
        <v>1.4586355010886018</v>
      </c>
      <c r="G81" s="4">
        <f t="shared" si="3"/>
        <v>1.5350702998951311</v>
      </c>
    </row>
    <row r="82" spans="5:7" x14ac:dyDescent="0.3">
      <c r="E82" s="3">
        <v>80</v>
      </c>
      <c r="F82" s="4">
        <f t="shared" si="2"/>
        <v>1.5108956167506336</v>
      </c>
      <c r="G82" s="4">
        <f t="shared" si="3"/>
        <v>1.6054740735149944</v>
      </c>
    </row>
    <row r="83" spans="5:7" x14ac:dyDescent="0.3">
      <c r="E83" s="3">
        <v>81</v>
      </c>
      <c r="F83" s="4">
        <f t="shared" si="2"/>
        <v>1.5612484314766122</v>
      </c>
      <c r="G83" s="4">
        <f t="shared" si="3"/>
        <v>1.6874970402115539</v>
      </c>
    </row>
    <row r="84" spans="5:7" x14ac:dyDescent="0.3">
      <c r="E84" s="3">
        <v>82</v>
      </c>
      <c r="F84" s="4">
        <f t="shared" si="2"/>
        <v>1.6090262948930325</v>
      </c>
      <c r="G84" s="4">
        <f t="shared" si="3"/>
        <v>1.7822075469055698</v>
      </c>
    </row>
    <row r="85" spans="5:7" x14ac:dyDescent="0.3">
      <c r="E85" s="3">
        <v>83</v>
      </c>
      <c r="F85" s="4">
        <f t="shared" si="2"/>
        <v>1.6535242108114951</v>
      </c>
      <c r="G85" s="4">
        <f t="shared" si="3"/>
        <v>1.8907486728077998</v>
      </c>
    </row>
    <row r="86" spans="5:7" x14ac:dyDescent="0.3">
      <c r="E86" s="3">
        <v>84</v>
      </c>
      <c r="F86" s="4">
        <f t="shared" si="2"/>
        <v>1.6940089693389795</v>
      </c>
      <c r="G86" s="4">
        <f t="shared" si="3"/>
        <v>2.0143136762317595</v>
      </c>
    </row>
    <row r="87" spans="5:7" x14ac:dyDescent="0.3">
      <c r="E87" s="3">
        <v>85</v>
      </c>
      <c r="F87" s="4">
        <f t="shared" si="2"/>
        <v>1.7297307811990104</v>
      </c>
      <c r="G87" s="4">
        <f t="shared" si="3"/>
        <v>2.154108852068461</v>
      </c>
    </row>
    <row r="88" spans="5:7" x14ac:dyDescent="0.3">
      <c r="E88" s="3">
        <v>86</v>
      </c>
      <c r="F88" s="4">
        <f t="shared" si="2"/>
        <v>1.759937773055346</v>
      </c>
      <c r="G88" s="4">
        <f t="shared" si="3"/>
        <v>2.311300805609223</v>
      </c>
    </row>
    <row r="89" spans="5:7" x14ac:dyDescent="0.3">
      <c r="E89" s="3">
        <v>87</v>
      </c>
      <c r="F89" s="4">
        <f t="shared" si="2"/>
        <v>1.7838937161097002</v>
      </c>
      <c r="G89" s="4">
        <f t="shared" si="3"/>
        <v>2.4869452843167932</v>
      </c>
    </row>
    <row r="90" spans="5:7" x14ac:dyDescent="0.3">
      <c r="E90" s="3">
        <v>88</v>
      </c>
      <c r="F90" s="4">
        <f t="shared" si="2"/>
        <v>1.8008993118960055</v>
      </c>
      <c r="G90" s="4">
        <f t="shared" si="3"/>
        <v>2.6818953623852519</v>
      </c>
    </row>
    <row r="91" spans="5:7" x14ac:dyDescent="0.3">
      <c r="E91" s="3">
        <v>89</v>
      </c>
      <c r="F91" s="4">
        <f t="shared" si="2"/>
        <v>1.8103172063695514</v>
      </c>
      <c r="G91" s="4">
        <f t="shared" si="3"/>
        <v>2.8966881774163955</v>
      </c>
    </row>
    <row r="92" spans="5:7" x14ac:dyDescent="0.3">
      <c r="E92" s="3">
        <v>90</v>
      </c>
      <c r="F92" s="4">
        <f t="shared" si="2"/>
        <v>1.8116005993477633</v>
      </c>
      <c r="G92" s="4">
        <f t="shared" si="3"/>
        <v>3.1314118045811714</v>
      </c>
    </row>
    <row r="93" spans="5:7" x14ac:dyDescent="0.3">
      <c r="E93" s="3">
        <v>91</v>
      </c>
      <c r="F93" s="4">
        <f t="shared" ref="F93:F102" si="4">($B$2-$B$3*F92)*F92-$B$4-$B$7*F92*G92</f>
        <v>1.8043248216804924</v>
      </c>
      <c r="G93" s="4">
        <f t="shared" ref="G93:G102" si="5">$B$5*G92+$B$6*F92*G92</f>
        <v>3.3855573743214453</v>
      </c>
    </row>
    <row r="94" spans="5:7" x14ac:dyDescent="0.3">
      <c r="E94" s="3">
        <v>92</v>
      </c>
      <c r="F94" s="4">
        <f t="shared" si="4"/>
        <v>1.788220553590671</v>
      </c>
      <c r="G94" s="4">
        <f t="shared" si="5"/>
        <v>3.6578661574604627</v>
      </c>
    </row>
    <row r="95" spans="5:7" x14ac:dyDescent="0.3">
      <c r="E95" s="3">
        <v>93</v>
      </c>
      <c r="F95" s="4">
        <f t="shared" si="4"/>
        <v>1.7632064908863001</v>
      </c>
      <c r="G95" s="4">
        <f t="shared" si="5"/>
        <v>3.9461866862198693</v>
      </c>
    </row>
    <row r="96" spans="5:7" x14ac:dyDescent="0.3">
      <c r="E96" s="3">
        <v>94</v>
      </c>
      <c r="F96" s="4">
        <f t="shared" si="4"/>
        <v>1.729418342283255</v>
      </c>
      <c r="G96" s="4">
        <f t="shared" si="5"/>
        <v>4.2473622155370796</v>
      </c>
    </row>
    <row r="97" spans="5:7" x14ac:dyDescent="0.3">
      <c r="E97" s="3">
        <v>95</v>
      </c>
      <c r="F97" s="4">
        <f t="shared" si="4"/>
        <v>1.6872302602101925</v>
      </c>
      <c r="G97" s="4">
        <f t="shared" si="5"/>
        <v>4.5571726061704387</v>
      </c>
    </row>
    <row r="98" spans="5:7" x14ac:dyDescent="0.3">
      <c r="E98" s="3">
        <v>96</v>
      </c>
      <c r="F98" s="4">
        <f t="shared" si="4"/>
        <v>1.6372644435045538</v>
      </c>
      <c r="G98" s="4">
        <f t="shared" si="5"/>
        <v>4.8703552977665661</v>
      </c>
    </row>
    <row r="99" spans="5:7" x14ac:dyDescent="0.3">
      <c r="E99" s="3">
        <v>97</v>
      </c>
      <c r="F99" s="4">
        <f t="shared" si="4"/>
        <v>1.5803849976348459</v>
      </c>
      <c r="G99" s="4">
        <f t="shared" si="5"/>
        <v>5.1807257236166322</v>
      </c>
    </row>
    <row r="100" spans="5:7" x14ac:dyDescent="0.3">
      <c r="E100" s="3">
        <v>98</v>
      </c>
      <c r="F100" s="4">
        <f t="shared" si="4"/>
        <v>1.5176734109097951</v>
      </c>
      <c r="G100" s="4">
        <f t="shared" si="5"/>
        <v>5.4814072723014347</v>
      </c>
    </row>
    <row r="101" spans="5:7" x14ac:dyDescent="0.3">
      <c r="E101" s="3">
        <v>99</v>
      </c>
      <c r="F101" s="4">
        <f t="shared" si="4"/>
        <v>1.4503852149663432</v>
      </c>
      <c r="G101" s="4">
        <f t="shared" si="5"/>
        <v>5.7651651522252383</v>
      </c>
    </row>
    <row r="102" spans="5:7" x14ac:dyDescent="0.3">
      <c r="E102" s="3">
        <v>100</v>
      </c>
      <c r="F102" s="4">
        <f t="shared" si="4"/>
        <v>1.3798902574958474</v>
      </c>
      <c r="G102" s="4">
        <f t="shared" si="5"/>
        <v>6.0248196668653815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Pavlov</dc:creator>
  <cp:lastModifiedBy>Nikita Pavlov</cp:lastModifiedBy>
  <dcterms:created xsi:type="dcterms:W3CDTF">2025-02-24T12:24:25Z</dcterms:created>
  <dcterms:modified xsi:type="dcterms:W3CDTF">2025-02-24T12:48:00Z</dcterms:modified>
</cp:coreProperties>
</file>