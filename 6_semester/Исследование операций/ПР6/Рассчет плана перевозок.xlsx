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Учеба\Исследование операций\ПР6\"/>
    </mc:Choice>
  </mc:AlternateContent>
  <xr:revisionPtr revIDLastSave="0" documentId="13_ncr:1_{5AA3BC11-A095-437E-8B65-C7B556B0E7FE}" xr6:coauthVersionLast="47" xr6:coauthVersionMax="47" xr10:uidLastSave="{00000000-0000-0000-0000-000000000000}"/>
  <bookViews>
    <workbookView xWindow="-108" yWindow="-108" windowWidth="23256" windowHeight="13896" xr2:uid="{C60A7BE8-351C-42CD-A651-55454D03EBCB}"/>
  </bookViews>
  <sheets>
    <sheet name="Лист1" sheetId="1" r:id="rId1"/>
  </sheets>
  <definedNames>
    <definedName name="solver_adj" localSheetId="0" hidden="1">Лист1!$C$10:$G$12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Лист1!$B$10</definedName>
    <definedName name="solver_lhs2" localSheetId="0" hidden="1">Лист1!$B$11</definedName>
    <definedName name="solver_lhs3" localSheetId="0" hidden="1">Лист1!$B$12</definedName>
    <definedName name="solver_lhs4" localSheetId="0" hidden="1">Лист1!$C$9</definedName>
    <definedName name="solver_lhs5" localSheetId="0" hidden="1">Лист1!$D$9</definedName>
    <definedName name="solver_lhs6" localSheetId="0" hidden="1">Лист1!$E$9</definedName>
    <definedName name="solver_lhs7" localSheetId="0" hidden="1">Лист1!$F$9</definedName>
    <definedName name="solver_lhs8" localSheetId="0" hidden="1">Лист1!$G$9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8</definedName>
    <definedName name="solver_nwt" localSheetId="0" hidden="1">1</definedName>
    <definedName name="solver_opt" localSheetId="0" hidden="1">Лист1!$H$20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2</definedName>
    <definedName name="solver_rel3" localSheetId="0" hidden="1">2</definedName>
    <definedName name="solver_rel4" localSheetId="0" hidden="1">2</definedName>
    <definedName name="solver_rel5" localSheetId="0" hidden="1">2</definedName>
    <definedName name="solver_rel6" localSheetId="0" hidden="1">2</definedName>
    <definedName name="solver_rel7" localSheetId="0" hidden="1">2</definedName>
    <definedName name="solver_rel8" localSheetId="0" hidden="1">2</definedName>
    <definedName name="solver_rhs1" localSheetId="0" hidden="1">Лист1!$B$4</definedName>
    <definedName name="solver_rhs2" localSheetId="0" hidden="1">Лист1!$B$5</definedName>
    <definedName name="solver_rhs3" localSheetId="0" hidden="1">Лист1!$B$6</definedName>
    <definedName name="solver_rhs4" localSheetId="0" hidden="1">Лист1!$C$3</definedName>
    <definedName name="solver_rhs5" localSheetId="0" hidden="1">Лист1!$D$3</definedName>
    <definedName name="solver_rhs6" localSheetId="0" hidden="1">Лист1!$E$3</definedName>
    <definedName name="solver_rhs7" localSheetId="0" hidden="1">Лист1!$F$3</definedName>
    <definedName name="solver_rhs8" localSheetId="0" hidden="1">Лист1!$G$3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C18" i="1"/>
  <c r="D18" i="1"/>
  <c r="E18" i="1"/>
  <c r="F18" i="1"/>
  <c r="G18" i="1"/>
  <c r="D16" i="1"/>
  <c r="E16" i="1"/>
  <c r="F16" i="1"/>
  <c r="G16" i="1"/>
  <c r="C16" i="1"/>
  <c r="D9" i="1"/>
  <c r="E9" i="1"/>
  <c r="F9" i="1"/>
  <c r="G9" i="1"/>
  <c r="C9" i="1"/>
  <c r="B11" i="1"/>
  <c r="B12" i="1"/>
  <c r="B10" i="1"/>
  <c r="H3" i="1"/>
  <c r="B7" i="1"/>
  <c r="G20" i="1" l="1"/>
  <c r="C20" i="1"/>
  <c r="E20" i="1"/>
  <c r="D20" i="1"/>
  <c r="F20" i="1"/>
  <c r="H20" i="1" l="1"/>
</calcChain>
</file>

<file path=xl/sharedStrings.xml><?xml version="1.0" encoding="utf-8"?>
<sst xmlns="http://schemas.openxmlformats.org/spreadsheetml/2006/main" count="9" uniqueCount="8">
  <si>
    <t>ai \ bk</t>
  </si>
  <si>
    <t>Стоимость перевозок</t>
  </si>
  <si>
    <t>План перевозок</t>
  </si>
  <si>
    <t>Суммарная стоимость перевозок</t>
  </si>
  <si>
    <t>Ответ</t>
  </si>
  <si>
    <t>Валидация успешна</t>
  </si>
  <si>
    <t>Валидация провалена</t>
  </si>
  <si>
    <t>Подставляем свои 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</si>
</sst>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Обычный" xfId="0" builtinId="0"/>
  </cellStyles>
  <dxfs count="6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6AEF-6B75-4861-938D-B829257C481D}">
  <dimension ref="B2:K20"/>
  <sheetViews>
    <sheetView tabSelected="1" workbookViewId="0">
      <selection activeCell="K9" sqref="K9"/>
    </sheetView>
  </sheetViews>
  <sheetFormatPr defaultRowHeight="14.4" x14ac:dyDescent="0.3"/>
  <cols>
    <col min="11" max="11" width="24.88671875" bestFit="1" customWidth="1"/>
  </cols>
  <sheetData>
    <row r="2" spans="2:11" x14ac:dyDescent="0.3">
      <c r="C2" s="7" t="s">
        <v>1</v>
      </c>
      <c r="D2" s="7"/>
      <c r="E2" s="7"/>
      <c r="F2" s="7"/>
      <c r="G2" s="7"/>
    </row>
    <row r="3" spans="2:11" x14ac:dyDescent="0.3">
      <c r="B3" s="1" t="s">
        <v>0</v>
      </c>
      <c r="C3" s="2">
        <v>170</v>
      </c>
      <c r="D3" s="2">
        <v>140</v>
      </c>
      <c r="E3" s="2">
        <v>210</v>
      </c>
      <c r="F3" s="2">
        <v>180</v>
      </c>
      <c r="G3" s="2">
        <v>150</v>
      </c>
      <c r="H3">
        <f>SUM(C3:G3)</f>
        <v>850</v>
      </c>
      <c r="K3" s="6" t="s">
        <v>7</v>
      </c>
    </row>
    <row r="4" spans="2:11" x14ac:dyDescent="0.3">
      <c r="B4" s="2">
        <v>300</v>
      </c>
      <c r="C4" s="2">
        <v>2</v>
      </c>
      <c r="D4" s="2">
        <v>4</v>
      </c>
      <c r="E4" s="2">
        <v>5</v>
      </c>
      <c r="F4" s="2">
        <v>7</v>
      </c>
      <c r="G4" s="2">
        <v>3</v>
      </c>
      <c r="K4" s="5" t="s">
        <v>5</v>
      </c>
    </row>
    <row r="5" spans="2:11" x14ac:dyDescent="0.3">
      <c r="B5" s="2">
        <v>250</v>
      </c>
      <c r="C5" s="2">
        <v>9</v>
      </c>
      <c r="D5" s="2">
        <v>7</v>
      </c>
      <c r="E5" s="2">
        <v>3</v>
      </c>
      <c r="F5" s="2">
        <v>8</v>
      </c>
      <c r="G5" s="2">
        <v>6</v>
      </c>
      <c r="K5" s="4" t="s">
        <v>6</v>
      </c>
    </row>
    <row r="6" spans="2:11" x14ac:dyDescent="0.3">
      <c r="B6" s="2">
        <v>300</v>
      </c>
      <c r="C6" s="2">
        <v>7</v>
      </c>
      <c r="D6" s="2">
        <v>3</v>
      </c>
      <c r="E6" s="2">
        <v>1</v>
      </c>
      <c r="F6" s="2">
        <v>9</v>
      </c>
      <c r="G6" s="2">
        <v>4</v>
      </c>
      <c r="K6" s="3" t="s">
        <v>4</v>
      </c>
    </row>
    <row r="7" spans="2:11" x14ac:dyDescent="0.3">
      <c r="B7">
        <f>SUM(B4:B6)</f>
        <v>850</v>
      </c>
    </row>
    <row r="8" spans="2:11" x14ac:dyDescent="0.3">
      <c r="C8" s="7" t="s">
        <v>2</v>
      </c>
      <c r="D8" s="7"/>
      <c r="E8" s="7"/>
      <c r="F8" s="7"/>
      <c r="G8" s="7"/>
    </row>
    <row r="9" spans="2:11" x14ac:dyDescent="0.3">
      <c r="C9">
        <f>SUM(C10:C12)</f>
        <v>170</v>
      </c>
      <c r="D9">
        <f t="shared" ref="D9:G9" si="0">SUM(D10:D12)</f>
        <v>140</v>
      </c>
      <c r="E9">
        <f t="shared" si="0"/>
        <v>210</v>
      </c>
      <c r="F9">
        <f t="shared" si="0"/>
        <v>180</v>
      </c>
      <c r="G9">
        <f t="shared" si="0"/>
        <v>150</v>
      </c>
    </row>
    <row r="10" spans="2:11" x14ac:dyDescent="0.3">
      <c r="B10">
        <f>SUM(C10:G10)</f>
        <v>300</v>
      </c>
      <c r="C10" s="2">
        <v>170</v>
      </c>
      <c r="D10" s="2">
        <v>0</v>
      </c>
      <c r="E10" s="2">
        <v>0</v>
      </c>
      <c r="F10" s="2">
        <v>0</v>
      </c>
      <c r="G10" s="2">
        <v>130</v>
      </c>
    </row>
    <row r="11" spans="2:11" x14ac:dyDescent="0.3">
      <c r="B11">
        <f t="shared" ref="B11:B12" si="1">SUM(C11:G11)</f>
        <v>250</v>
      </c>
      <c r="C11" s="2">
        <v>0</v>
      </c>
      <c r="D11" s="2">
        <v>0</v>
      </c>
      <c r="E11" s="2">
        <v>50</v>
      </c>
      <c r="F11" s="2">
        <v>180</v>
      </c>
      <c r="G11" s="2">
        <v>20</v>
      </c>
    </row>
    <row r="12" spans="2:11" x14ac:dyDescent="0.3">
      <c r="B12">
        <f t="shared" si="1"/>
        <v>300</v>
      </c>
      <c r="C12" s="2">
        <v>0</v>
      </c>
      <c r="D12" s="2">
        <v>140</v>
      </c>
      <c r="E12" s="2">
        <v>160</v>
      </c>
      <c r="F12" s="2">
        <v>0</v>
      </c>
      <c r="G12" s="2">
        <v>0</v>
      </c>
    </row>
    <row r="15" spans="2:11" x14ac:dyDescent="0.3">
      <c r="C15" s="7" t="s">
        <v>3</v>
      </c>
      <c r="D15" s="7"/>
      <c r="E15" s="7"/>
      <c r="F15" s="7"/>
      <c r="G15" s="7"/>
    </row>
    <row r="16" spans="2:11" x14ac:dyDescent="0.3">
      <c r="C16" s="1">
        <f>C10*C4</f>
        <v>340</v>
      </c>
      <c r="D16" s="1">
        <f t="shared" ref="D16:G16" si="2">D10*D4</f>
        <v>0</v>
      </c>
      <c r="E16" s="1">
        <f t="shared" si="2"/>
        <v>0</v>
      </c>
      <c r="F16" s="1">
        <f t="shared" si="2"/>
        <v>0</v>
      </c>
      <c r="G16" s="1">
        <f t="shared" si="2"/>
        <v>390</v>
      </c>
    </row>
    <row r="17" spans="3:8" x14ac:dyDescent="0.3">
      <c r="C17" s="1">
        <f t="shared" ref="C17:G17" si="3">C11*C5</f>
        <v>0</v>
      </c>
      <c r="D17" s="1">
        <f t="shared" si="3"/>
        <v>0</v>
      </c>
      <c r="E17" s="1">
        <f t="shared" si="3"/>
        <v>150</v>
      </c>
      <c r="F17" s="1">
        <f t="shared" si="3"/>
        <v>1440</v>
      </c>
      <c r="G17" s="1">
        <f t="shared" si="3"/>
        <v>120</v>
      </c>
    </row>
    <row r="18" spans="3:8" x14ac:dyDescent="0.3">
      <c r="C18" s="1">
        <f t="shared" ref="C18:G18" si="4">C12*C6</f>
        <v>0</v>
      </c>
      <c r="D18" s="1">
        <f t="shared" si="4"/>
        <v>420</v>
      </c>
      <c r="E18" s="1">
        <f t="shared" si="4"/>
        <v>160</v>
      </c>
      <c r="F18" s="1">
        <f t="shared" si="4"/>
        <v>0</v>
      </c>
      <c r="G18" s="1">
        <f t="shared" si="4"/>
        <v>0</v>
      </c>
    </row>
    <row r="19" spans="3:8" x14ac:dyDescent="0.3">
      <c r="H19" t="s">
        <v>4</v>
      </c>
    </row>
    <row r="20" spans="3:8" x14ac:dyDescent="0.3">
      <c r="C20" s="1">
        <f>SUM(C16:C18)</f>
        <v>340</v>
      </c>
      <c r="D20" s="1">
        <f t="shared" ref="D20:G20" si="5">SUM(D16:D18)</f>
        <v>420</v>
      </c>
      <c r="E20" s="1">
        <f t="shared" si="5"/>
        <v>310</v>
      </c>
      <c r="F20" s="1">
        <f t="shared" si="5"/>
        <v>1440</v>
      </c>
      <c r="G20" s="1">
        <f t="shared" si="5"/>
        <v>510</v>
      </c>
      <c r="H20" s="3">
        <f>SUM(C20:G20)</f>
        <v>3020</v>
      </c>
    </row>
  </sheetData>
  <mergeCells count="3">
    <mergeCell ref="C2:G2"/>
    <mergeCell ref="C8:G8"/>
    <mergeCell ref="C15:G15"/>
  </mergeCells>
  <conditionalFormatting sqref="B7">
    <cfRule type="cellIs" dxfId="5" priority="1" operator="notEqual">
      <formula>$H$3</formula>
    </cfRule>
    <cfRule type="cellIs" dxfId="4" priority="5" operator="equal">
      <formula>$H$3</formula>
    </cfRule>
  </conditionalFormatting>
  <conditionalFormatting sqref="C9:G9 B10:B12">
    <cfRule type="cellIs" dxfId="3" priority="3" operator="notEqual">
      <formula>B3</formula>
    </cfRule>
    <cfRule type="cellIs" dxfId="2" priority="4" operator="equal">
      <formula>B3</formula>
    </cfRule>
  </conditionalFormatting>
  <conditionalFormatting sqref="H3">
    <cfRule type="cellIs" dxfId="1" priority="2" operator="notEqual">
      <formula>$B$7</formula>
    </cfRule>
    <cfRule type="cellIs" dxfId="0" priority="6" operator="equal">
      <formula>$B$7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Павлов</dc:creator>
  <cp:lastModifiedBy>Никита Павлов</cp:lastModifiedBy>
  <dcterms:created xsi:type="dcterms:W3CDTF">2026-03-30T16:14:51Z</dcterms:created>
  <dcterms:modified xsi:type="dcterms:W3CDTF">2026-03-30T17:07:10Z</dcterms:modified>
</cp:coreProperties>
</file>