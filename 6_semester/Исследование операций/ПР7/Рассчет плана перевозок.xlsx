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чеба\Исследование операций\ПР7\"/>
    </mc:Choice>
  </mc:AlternateContent>
  <xr:revisionPtr revIDLastSave="0" documentId="13_ncr:1_{3991A66A-E508-42B4-98D0-0D2362049B23}" xr6:coauthVersionLast="47" xr6:coauthVersionMax="47" xr10:uidLastSave="{00000000-0000-0000-0000-000000000000}"/>
  <bookViews>
    <workbookView xWindow="-108" yWindow="-108" windowWidth="23256" windowHeight="13896" xr2:uid="{C60A7BE8-351C-42CD-A651-55454D03EBCB}"/>
  </bookViews>
  <sheets>
    <sheet name="Лист1" sheetId="1" r:id="rId1"/>
  </sheets>
  <definedNames>
    <definedName name="solver_adj" localSheetId="0" hidden="1">Лист1!$C$11:$G$14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Лист1!$B$11</definedName>
    <definedName name="solver_lhs10" localSheetId="0" hidden="1">Лист1!$F$10</definedName>
    <definedName name="solver_lhs11" localSheetId="0" hidden="1">Лист1!$F$12</definedName>
    <definedName name="solver_lhs12" localSheetId="0" hidden="1">Лист1!$G$10</definedName>
    <definedName name="solver_lhs2" localSheetId="0" hidden="1">Лист1!$B$12</definedName>
    <definedName name="solver_lhs3" localSheetId="0" hidden="1">Лист1!$B$13</definedName>
    <definedName name="solver_lhs4" localSheetId="0" hidden="1">Лист1!$B$14</definedName>
    <definedName name="solver_lhs5" localSheetId="0" hidden="1">Лист1!$C$10</definedName>
    <definedName name="solver_lhs6" localSheetId="0" hidden="1">Лист1!$C$11</definedName>
    <definedName name="solver_lhs7" localSheetId="0" hidden="1">Лист1!$D$10</definedName>
    <definedName name="solver_lhs8" localSheetId="0" hidden="1">Лист1!$D$14</definedName>
    <definedName name="solver_lhs9" localSheetId="0" hidden="1">Лист1!$E$10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12</definedName>
    <definedName name="solver_nwt" localSheetId="0" hidden="1">1</definedName>
    <definedName name="solver_opt" localSheetId="0" hidden="1">Лист1!$H$23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10" localSheetId="0" hidden="1">2</definedName>
    <definedName name="solver_rel11" localSheetId="0" hidden="1">2</definedName>
    <definedName name="solver_rel12" localSheetId="0" hidden="1">2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1" localSheetId="0" hidden="1">Лист1!$B$4</definedName>
    <definedName name="solver_rhs10" localSheetId="0" hidden="1">Лист1!$F$3</definedName>
    <definedName name="solver_rhs11" localSheetId="0" hidden="1">0</definedName>
    <definedName name="solver_rhs12" localSheetId="0" hidden="1">Лист1!$G$3</definedName>
    <definedName name="solver_rhs2" localSheetId="0" hidden="1">Лист1!$B$5</definedName>
    <definedName name="solver_rhs3" localSheetId="0" hidden="1">Лист1!$B$6</definedName>
    <definedName name="solver_rhs4" localSheetId="0" hidden="1">Лист1!$B$7</definedName>
    <definedName name="solver_rhs5" localSheetId="0" hidden="1">Лист1!$C$3</definedName>
    <definedName name="solver_rhs6" localSheetId="0" hidden="1">60</definedName>
    <definedName name="solver_rhs7" localSheetId="0" hidden="1">Лист1!$D$3</definedName>
    <definedName name="solver_rhs8" localSheetId="0" hidden="1">0</definedName>
    <definedName name="solver_rhs9" localSheetId="0" hidden="1">Лист1!$E$3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D18" i="1"/>
  <c r="E18" i="1"/>
  <c r="F18" i="1"/>
  <c r="G18" i="1"/>
  <c r="B13" i="1"/>
  <c r="B8" i="1"/>
  <c r="C10" i="1"/>
  <c r="C18" i="1"/>
  <c r="D10" i="1"/>
  <c r="E10" i="1"/>
  <c r="F10" i="1"/>
  <c r="G10" i="1"/>
  <c r="B12" i="1"/>
  <c r="B14" i="1"/>
  <c r="B11" i="1"/>
  <c r="H3" i="1"/>
  <c r="G23" i="1" l="1"/>
  <c r="C23" i="1"/>
  <c r="E23" i="1"/>
  <c r="D23" i="1"/>
  <c r="F23" i="1"/>
  <c r="H23" i="1" l="1"/>
</calcChain>
</file>

<file path=xl/sharedStrings.xml><?xml version="1.0" encoding="utf-8"?>
<sst xmlns="http://schemas.openxmlformats.org/spreadsheetml/2006/main" count="9" uniqueCount="8">
  <si>
    <t>ai \ bk</t>
  </si>
  <si>
    <t>Стоимость перевозок</t>
  </si>
  <si>
    <t>План перевозок</t>
  </si>
  <si>
    <t>Суммарная стоимость перевозок</t>
  </si>
  <si>
    <t>Ответ</t>
  </si>
  <si>
    <t>Валидация успешна</t>
  </si>
  <si>
    <t>Валидация провалена</t>
  </si>
  <si>
    <t>Подставляем свои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</si>
</sst>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8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6AEF-6B75-4861-938D-B829257C481D}">
  <dimension ref="B2:K23"/>
  <sheetViews>
    <sheetView tabSelected="1" workbookViewId="0">
      <selection activeCell="K10" sqref="K10"/>
    </sheetView>
  </sheetViews>
  <sheetFormatPr defaultRowHeight="14.4" x14ac:dyDescent="0.3"/>
  <cols>
    <col min="11" max="11" width="24.88671875" bestFit="1" customWidth="1"/>
  </cols>
  <sheetData>
    <row r="2" spans="2:11" x14ac:dyDescent="0.3">
      <c r="C2" s="7" t="s">
        <v>1</v>
      </c>
      <c r="D2" s="7"/>
      <c r="E2" s="7"/>
      <c r="F2" s="7"/>
      <c r="G2" s="7"/>
    </row>
    <row r="3" spans="2:11" x14ac:dyDescent="0.3">
      <c r="B3" s="1" t="s">
        <v>0</v>
      </c>
      <c r="C3" s="2">
        <v>220</v>
      </c>
      <c r="D3" s="2">
        <v>150</v>
      </c>
      <c r="E3" s="2">
        <v>170</v>
      </c>
      <c r="F3" s="2">
        <v>200</v>
      </c>
      <c r="G3" s="2">
        <v>210</v>
      </c>
      <c r="H3">
        <f>SUM(C3:G3)</f>
        <v>950</v>
      </c>
      <c r="K3" s="6" t="s">
        <v>7</v>
      </c>
    </row>
    <row r="4" spans="2:11" x14ac:dyDescent="0.3">
      <c r="B4" s="2">
        <v>350</v>
      </c>
      <c r="C4" s="2">
        <v>11</v>
      </c>
      <c r="D4" s="2">
        <v>5</v>
      </c>
      <c r="E4" s="2">
        <v>4</v>
      </c>
      <c r="F4" s="2">
        <v>9</v>
      </c>
      <c r="G4" s="2">
        <v>6</v>
      </c>
      <c r="K4" s="5" t="s">
        <v>5</v>
      </c>
    </row>
    <row r="5" spans="2:11" x14ac:dyDescent="0.3">
      <c r="B5" s="2">
        <v>320</v>
      </c>
      <c r="C5" s="2">
        <v>6</v>
      </c>
      <c r="D5" s="2">
        <v>6</v>
      </c>
      <c r="E5" s="2">
        <v>7</v>
      </c>
      <c r="F5" s="2">
        <v>2</v>
      </c>
      <c r="G5" s="2">
        <v>3</v>
      </c>
      <c r="K5" s="4" t="s">
        <v>6</v>
      </c>
    </row>
    <row r="6" spans="2:11" x14ac:dyDescent="0.3">
      <c r="B6" s="2">
        <v>220</v>
      </c>
      <c r="C6" s="2">
        <v>7</v>
      </c>
      <c r="D6" s="2">
        <v>3</v>
      </c>
      <c r="E6" s="2">
        <v>10</v>
      </c>
      <c r="F6" s="2">
        <v>8</v>
      </c>
      <c r="G6" s="2">
        <v>9</v>
      </c>
      <c r="K6" s="3" t="s">
        <v>4</v>
      </c>
    </row>
    <row r="7" spans="2:11" x14ac:dyDescent="0.3">
      <c r="B7" s="2">
        <v>60</v>
      </c>
      <c r="C7" s="2">
        <v>0</v>
      </c>
      <c r="D7" s="2">
        <v>0</v>
      </c>
      <c r="E7" s="2">
        <v>0</v>
      </c>
      <c r="F7" s="2">
        <v>0</v>
      </c>
      <c r="G7" s="2">
        <v>0</v>
      </c>
    </row>
    <row r="8" spans="2:11" x14ac:dyDescent="0.3">
      <c r="B8">
        <f>SUM(B4:B7)</f>
        <v>950</v>
      </c>
    </row>
    <row r="9" spans="2:11" x14ac:dyDescent="0.3">
      <c r="C9" s="7" t="s">
        <v>2</v>
      </c>
      <c r="D9" s="7"/>
      <c r="E9" s="7"/>
      <c r="F9" s="7"/>
      <c r="G9" s="7"/>
    </row>
    <row r="10" spans="2:11" x14ac:dyDescent="0.3">
      <c r="C10">
        <f>SUM(C11:C14)</f>
        <v>220</v>
      </c>
      <c r="D10">
        <f t="shared" ref="D10:G10" si="0">SUM(D11:D14)</f>
        <v>150</v>
      </c>
      <c r="E10">
        <f t="shared" si="0"/>
        <v>170</v>
      </c>
      <c r="F10">
        <f t="shared" si="0"/>
        <v>200</v>
      </c>
      <c r="G10">
        <f t="shared" si="0"/>
        <v>210</v>
      </c>
    </row>
    <row r="11" spans="2:11" x14ac:dyDescent="0.3">
      <c r="B11">
        <f>SUM(C11:G11)</f>
        <v>350</v>
      </c>
      <c r="C11" s="2">
        <v>60</v>
      </c>
      <c r="D11" s="2">
        <v>0</v>
      </c>
      <c r="E11" s="2">
        <v>170</v>
      </c>
      <c r="F11" s="2">
        <v>120</v>
      </c>
      <c r="G11" s="2">
        <v>0</v>
      </c>
    </row>
    <row r="12" spans="2:11" x14ac:dyDescent="0.3">
      <c r="B12">
        <f t="shared" ref="B12:B14" si="1">SUM(C12:G12)</f>
        <v>320</v>
      </c>
      <c r="C12" s="2">
        <v>110</v>
      </c>
      <c r="D12" s="2">
        <v>0</v>
      </c>
      <c r="E12" s="2">
        <v>0</v>
      </c>
      <c r="F12" s="2">
        <v>0</v>
      </c>
      <c r="G12" s="2">
        <v>210</v>
      </c>
    </row>
    <row r="13" spans="2:11" x14ac:dyDescent="0.3">
      <c r="B13">
        <f>SUM(C13:G13)</f>
        <v>220</v>
      </c>
      <c r="C13" s="2">
        <v>50</v>
      </c>
      <c r="D13" s="2">
        <v>150</v>
      </c>
      <c r="E13" s="2">
        <v>0</v>
      </c>
      <c r="F13" s="2">
        <v>20</v>
      </c>
      <c r="G13" s="2">
        <v>0</v>
      </c>
    </row>
    <row r="14" spans="2:11" x14ac:dyDescent="0.3">
      <c r="B14">
        <f t="shared" si="1"/>
        <v>60</v>
      </c>
      <c r="C14" s="2">
        <v>0</v>
      </c>
      <c r="D14" s="2">
        <v>0</v>
      </c>
      <c r="E14" s="2">
        <v>0</v>
      </c>
      <c r="F14" s="2">
        <v>60</v>
      </c>
      <c r="G14" s="2">
        <v>0</v>
      </c>
    </row>
    <row r="17" spans="3:8" x14ac:dyDescent="0.3">
      <c r="C17" s="7" t="s">
        <v>3</v>
      </c>
      <c r="D17" s="7"/>
      <c r="E17" s="7"/>
      <c r="F17" s="7"/>
      <c r="G17" s="7"/>
    </row>
    <row r="18" spans="3:8" x14ac:dyDescent="0.3">
      <c r="C18" s="1">
        <f>C11*C4</f>
        <v>660</v>
      </c>
      <c r="D18" s="1">
        <f t="shared" ref="D18:G18" si="2">D11*D4</f>
        <v>0</v>
      </c>
      <c r="E18" s="1">
        <f t="shared" si="2"/>
        <v>680</v>
      </c>
      <c r="F18" s="1">
        <f t="shared" si="2"/>
        <v>1080</v>
      </c>
      <c r="G18" s="1">
        <f t="shared" si="2"/>
        <v>0</v>
      </c>
    </row>
    <row r="19" spans="3:8" x14ac:dyDescent="0.3">
      <c r="C19" s="1">
        <f t="shared" ref="C19:G19" si="3">C12*C5</f>
        <v>660</v>
      </c>
      <c r="D19" s="1">
        <f t="shared" si="3"/>
        <v>0</v>
      </c>
      <c r="E19" s="1">
        <f t="shared" si="3"/>
        <v>0</v>
      </c>
      <c r="F19" s="1">
        <f t="shared" si="3"/>
        <v>0</v>
      </c>
      <c r="G19" s="1">
        <f t="shared" si="3"/>
        <v>630</v>
      </c>
    </row>
    <row r="20" spans="3:8" x14ac:dyDescent="0.3">
      <c r="C20" s="1">
        <f t="shared" ref="C20:G20" si="4">C13*C6</f>
        <v>350</v>
      </c>
      <c r="D20" s="1">
        <f t="shared" si="4"/>
        <v>450</v>
      </c>
      <c r="E20" s="1">
        <f t="shared" si="4"/>
        <v>0</v>
      </c>
      <c r="F20" s="1">
        <f t="shared" si="4"/>
        <v>160</v>
      </c>
      <c r="G20" s="1">
        <f t="shared" si="4"/>
        <v>0</v>
      </c>
    </row>
    <row r="21" spans="3:8" x14ac:dyDescent="0.3">
      <c r="C21" s="1">
        <f t="shared" ref="C21:G21" si="5">C14*C7</f>
        <v>0</v>
      </c>
      <c r="D21" s="1">
        <f t="shared" si="5"/>
        <v>0</v>
      </c>
      <c r="E21" s="1">
        <f t="shared" si="5"/>
        <v>0</v>
      </c>
      <c r="F21" s="1">
        <f t="shared" si="5"/>
        <v>0</v>
      </c>
      <c r="G21" s="1">
        <f t="shared" si="5"/>
        <v>0</v>
      </c>
    </row>
    <row r="22" spans="3:8" x14ac:dyDescent="0.3">
      <c r="H22" t="s">
        <v>4</v>
      </c>
    </row>
    <row r="23" spans="3:8" x14ac:dyDescent="0.3">
      <c r="C23" s="1">
        <f>SUM(C18:C21)</f>
        <v>1670</v>
      </c>
      <c r="D23" s="1">
        <f t="shared" ref="D23:G23" si="6">SUM(D18:D21)</f>
        <v>450</v>
      </c>
      <c r="E23" s="1">
        <f t="shared" si="6"/>
        <v>680</v>
      </c>
      <c r="F23" s="1">
        <f t="shared" si="6"/>
        <v>1240</v>
      </c>
      <c r="G23" s="1">
        <f t="shared" si="6"/>
        <v>630</v>
      </c>
      <c r="H23" s="3">
        <f>SUM(C23:G23)</f>
        <v>4670</v>
      </c>
    </row>
  </sheetData>
  <mergeCells count="3">
    <mergeCell ref="C2:G2"/>
    <mergeCell ref="C9:G9"/>
    <mergeCell ref="C17:G17"/>
  </mergeCells>
  <conditionalFormatting sqref="B8">
    <cfRule type="cellIs" dxfId="7" priority="1" operator="notEqual">
      <formula>$H$3</formula>
    </cfRule>
    <cfRule type="cellIs" dxfId="6" priority="5" operator="equal">
      <formula>$H$3</formula>
    </cfRule>
  </conditionalFormatting>
  <conditionalFormatting sqref="C10:G10 B11:B13">
    <cfRule type="cellIs" dxfId="5" priority="3" operator="notEqual">
      <formula>B3</formula>
    </cfRule>
    <cfRule type="cellIs" dxfId="4" priority="4" operator="equal">
      <formula>B3</formula>
    </cfRule>
  </conditionalFormatting>
  <conditionalFormatting sqref="H3">
    <cfRule type="cellIs" dxfId="3" priority="2" operator="notEqual">
      <formula>$B$8</formula>
    </cfRule>
    <cfRule type="cellIs" dxfId="2" priority="6" operator="equal">
      <formula>$B$8</formula>
    </cfRule>
  </conditionalFormatting>
  <conditionalFormatting sqref="B14">
    <cfRule type="cellIs" dxfId="1" priority="9" operator="notEqual">
      <formula>B7</formula>
    </cfRule>
    <cfRule type="cellIs" dxfId="0" priority="10" operator="equal">
      <formula>B7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Павлов</dc:creator>
  <cp:lastModifiedBy>Никита Павлов</cp:lastModifiedBy>
  <dcterms:created xsi:type="dcterms:W3CDTF">2026-03-30T16:14:51Z</dcterms:created>
  <dcterms:modified xsi:type="dcterms:W3CDTF">2026-04-11T07:44:31Z</dcterms:modified>
</cp:coreProperties>
</file>